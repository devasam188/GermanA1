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un Reference" sheetId="1" state="visible" r:id="rId3"/>
    <sheet name="All Vocabulary" sheetId="2" state="visible" r:id="rId4"/>
    <sheet name="Gender Game" sheetId="3" state="visible" r:id="rId5"/>
    <sheet name="Plural Game" sheetId="4" state="visible" r:id="rId6"/>
    <sheet name="Colour Sort" sheetId="5" state="visible" r:id="rId7"/>
    <sheet name="Vocab Quiz" sheetId="6" state="visible" r:id="rId8"/>
    <sheet name="My Scor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<sst xmlns="http://schemas.openxmlformats.org/spreadsheetml/2006/main" count="1892" uniqueCount="675">
  <si>
    <t xml:space="preserve">Netzwerk Neu A1 - ALL Nouns | Gender &amp; Plural Reference</t>
  </si>
  <si>
    <t xml:space="preserve">DER (masculine)</t>
  </si>
  <si>
    <t xml:space="preserve">DIE (feminine)</t>
  </si>
  <si>
    <t xml:space="preserve">DAS (neuter)</t>
  </si>
  <si>
    <t xml:space="preserve">#</t>
  </si>
  <si>
    <t xml:space="preserve">Emoji</t>
  </si>
  <si>
    <t xml:space="preserve">German Noun</t>
  </si>
  <si>
    <t xml:space="preserve">Article</t>
  </si>
  <si>
    <t xml:space="preserve">Plural Form</t>
  </si>
  <si>
    <t xml:space="preserve">English</t>
  </si>
  <si>
    <t xml:space="preserve">Example Sentence</t>
  </si>
  <si>
    <t xml:space="preserve">Section</t>
  </si>
  <si>
    <t xml:space="preserve">🛣</t>
  </si>
  <si>
    <t xml:space="preserve">Autobahn</t>
  </si>
  <si>
    <t xml:space="preserve">die</t>
  </si>
  <si>
    <t xml:space="preserve">Autobahnen</t>
  </si>
  <si>
    <t xml:space="preserve">highway</t>
  </si>
  <si>
    <t xml:space="preserve">Die Autobahn ist lang.</t>
  </si>
  <si>
    <t xml:space="preserve">1a</t>
  </si>
  <si>
    <t xml:space="preserve">🥪</t>
  </si>
  <si>
    <t xml:space="preserve">Butterbrot</t>
  </si>
  <si>
    <t xml:space="preserve">das</t>
  </si>
  <si>
    <t xml:space="preserve">Butterbrote</t>
  </si>
  <si>
    <t xml:space="preserve">sandwich</t>
  </si>
  <si>
    <t xml:space="preserve">Das Butterbrot schmeckt gut.</t>
  </si>
  <si>
    <t xml:space="preserve">🍼</t>
  </si>
  <si>
    <t xml:space="preserve">Flasche</t>
  </si>
  <si>
    <t xml:space="preserve">Flaschen</t>
  </si>
  <si>
    <t xml:space="preserve">bottle</t>
  </si>
  <si>
    <t xml:space="preserve">Die Flasche ist leer.</t>
  </si>
  <si>
    <t xml:space="preserve">🏊</t>
  </si>
  <si>
    <t xml:space="preserve">Handtuch</t>
  </si>
  <si>
    <t xml:space="preserve">Handtuecher</t>
  </si>
  <si>
    <t xml:space="preserve">towel</t>
  </si>
  <si>
    <t xml:space="preserve">Das Handtuch ist nass.</t>
  </si>
  <si>
    <t xml:space="preserve">🏫</t>
  </si>
  <si>
    <t xml:space="preserve">Kindergarten</t>
  </si>
  <si>
    <t xml:space="preserve">der</t>
  </si>
  <si>
    <t xml:space="preserve">Kindergaerten</t>
  </si>
  <si>
    <t xml:space="preserve">kindergarten</t>
  </si>
  <si>
    <t xml:space="preserve">Der Kindergarten ist gross.</t>
  </si>
  <si>
    <t xml:space="preserve">🧳</t>
  </si>
  <si>
    <t xml:space="preserve">Koffer</t>
  </si>
  <si>
    <t xml:space="preserve">suitcase</t>
  </si>
  <si>
    <t xml:space="preserve">Der Koffer ist schwer.</t>
  </si>
  <si>
    <t xml:space="preserve">🤒</t>
  </si>
  <si>
    <t xml:space="preserve">Kranke</t>
  </si>
  <si>
    <t xml:space="preserve">Kranken</t>
  </si>
  <si>
    <t xml:space="preserve">sick person</t>
  </si>
  <si>
    <t xml:space="preserve">Der Kranke ist interessant.</t>
  </si>
  <si>
    <t xml:space="preserve">🍝</t>
  </si>
  <si>
    <t xml:space="preserve">Nudel</t>
  </si>
  <si>
    <t xml:space="preserve">Nudeln</t>
  </si>
  <si>
    <t xml:space="preserve">noodle</t>
  </si>
  <si>
    <t xml:space="preserve">Die Nudel ist lecker.</t>
  </si>
  <si>
    <t xml:space="preserve">🌭</t>
  </si>
  <si>
    <t xml:space="preserve">Wuerstchen</t>
  </si>
  <si>
    <t xml:space="preserve">sausage (small)</t>
  </si>
  <si>
    <t xml:space="preserve">Das Wuerstchen ist heiss.</t>
  </si>
  <si>
    <t xml:space="preserve">Wurstel</t>
  </si>
  <si>
    <t xml:space="preserve">sausage (Austrian)</t>
  </si>
  <si>
    <t xml:space="preserve">Das Wurstel ist interessant.</t>
  </si>
  <si>
    <t xml:space="preserve">💬</t>
  </si>
  <si>
    <t xml:space="preserve">Sprache</t>
  </si>
  <si>
    <t xml:space="preserve">Sprachen</t>
  </si>
  <si>
    <t xml:space="preserve">language</t>
  </si>
  <si>
    <t xml:space="preserve">Die Sprache ist interessant.</t>
  </si>
  <si>
    <t xml:space="preserve">1b</t>
  </si>
  <si>
    <t xml:space="preserve">📝</t>
  </si>
  <si>
    <t xml:space="preserve">Wort</t>
  </si>
  <si>
    <t xml:space="preserve">Woerter</t>
  </si>
  <si>
    <t xml:space="preserve">word</t>
  </si>
  <si>
    <t xml:space="preserve">Das Wort ist neu.</t>
  </si>
  <si>
    <t xml:space="preserve">🙏</t>
  </si>
  <si>
    <t xml:space="preserve">Entschuldigung</t>
  </si>
  <si>
    <t xml:space="preserve">Entschuldigungen</t>
  </si>
  <si>
    <t xml:space="preserve">apology / excuse me</t>
  </si>
  <si>
    <t xml:space="preserve">Die Entschuldigung ist interessant.</t>
  </si>
  <si>
    <t xml:space="preserve">2a</t>
  </si>
  <si>
    <t xml:space="preserve">👤</t>
  </si>
  <si>
    <t xml:space="preserve">Person</t>
  </si>
  <si>
    <t xml:space="preserve">Personen</t>
  </si>
  <si>
    <t xml:space="preserve">person</t>
  </si>
  <si>
    <t xml:space="preserve">Die Person ist nett.</t>
  </si>
  <si>
    <t xml:space="preserve">🎭</t>
  </si>
  <si>
    <t xml:space="preserve">Situation</t>
  </si>
  <si>
    <t xml:space="preserve">Situationen</t>
  </si>
  <si>
    <t xml:space="preserve">situation</t>
  </si>
  <si>
    <t xml:space="preserve">Die Situation ist interessant.</t>
  </si>
  <si>
    <t xml:space="preserve">2b</t>
  </si>
  <si>
    <t xml:space="preserve">🏷</t>
  </si>
  <si>
    <t xml:space="preserve">Name</t>
  </si>
  <si>
    <t xml:space="preserve">Namen</t>
  </si>
  <si>
    <t xml:space="preserve">name</t>
  </si>
  <si>
    <t xml:space="preserve">Der Name ist schoen.</t>
  </si>
  <si>
    <t xml:space="preserve">2c</t>
  </si>
  <si>
    <t xml:space="preserve">📋</t>
  </si>
  <si>
    <t xml:space="preserve">Kursplakat</t>
  </si>
  <si>
    <t xml:space="preserve">Kursplakate</t>
  </si>
  <si>
    <t xml:space="preserve">course poster</t>
  </si>
  <si>
    <t xml:space="preserve">Das Kursplakat ist bunt.</t>
  </si>
  <si>
    <t xml:space="preserve">1c</t>
  </si>
  <si>
    <t xml:space="preserve">🪪</t>
  </si>
  <si>
    <t xml:space="preserve">Nachname</t>
  </si>
  <si>
    <t xml:space="preserve">Nachnamen</t>
  </si>
  <si>
    <t xml:space="preserve">last name</t>
  </si>
  <si>
    <t xml:space="preserve">Der Nachname ist interessant.</t>
  </si>
  <si>
    <t xml:space="preserve">3b</t>
  </si>
  <si>
    <t xml:space="preserve">🔤</t>
  </si>
  <si>
    <t xml:space="preserve">Personalpronomen</t>
  </si>
  <si>
    <t xml:space="preserve">personal pronoun</t>
  </si>
  <si>
    <t xml:space="preserve">Das Personalpronomen ist interessant.</t>
  </si>
  <si>
    <t xml:space="preserve">📖</t>
  </si>
  <si>
    <t xml:space="preserve">Verb</t>
  </si>
  <si>
    <t xml:space="preserve">Verben</t>
  </si>
  <si>
    <t xml:space="preserve">verb</t>
  </si>
  <si>
    <t xml:space="preserve">Das Verb ist interessant.</t>
  </si>
  <si>
    <t xml:space="preserve">Vorname</t>
  </si>
  <si>
    <t xml:space="preserve">Vornamen</t>
  </si>
  <si>
    <t xml:space="preserve">first name</t>
  </si>
  <si>
    <t xml:space="preserve">Der Vorname ist interessant.</t>
  </si>
  <si>
    <t xml:space="preserve">💡</t>
  </si>
  <si>
    <t xml:space="preserve">Antwort</t>
  </si>
  <si>
    <t xml:space="preserve">Antworten</t>
  </si>
  <si>
    <t xml:space="preserve">answer</t>
  </si>
  <si>
    <t xml:space="preserve">Die Antwort ist richtig.</t>
  </si>
  <si>
    <t xml:space="preserve">4a</t>
  </si>
  <si>
    <t xml:space="preserve">🗺</t>
  </si>
  <si>
    <t xml:space="preserve">Reisefuehrer</t>
  </si>
  <si>
    <t xml:space="preserve">travel guide (m)</t>
  </si>
  <si>
    <t xml:space="preserve">Der Reisefuehrer ist interessant.</t>
  </si>
  <si>
    <t xml:space="preserve">Reisefuehrerin</t>
  </si>
  <si>
    <t xml:space="preserve">Reisefuehrerinnen</t>
  </si>
  <si>
    <t xml:space="preserve">travel guide (f)</t>
  </si>
  <si>
    <t xml:space="preserve">Die Reisefuehrerin ist interessant.</t>
  </si>
  <si>
    <t xml:space="preserve">📞</t>
  </si>
  <si>
    <t xml:space="preserve">Telefon</t>
  </si>
  <si>
    <t xml:space="preserve">Telefone</t>
  </si>
  <si>
    <t xml:space="preserve">telephone</t>
  </si>
  <si>
    <t xml:space="preserve">Das Telefon klingelt.</t>
  </si>
  <si>
    <t xml:space="preserve">Aussagesatz</t>
  </si>
  <si>
    <t xml:space="preserve">Aussagesaetze</t>
  </si>
  <si>
    <t xml:space="preserve">declarative sentence</t>
  </si>
  <si>
    <t xml:space="preserve">Der Aussagesatz ist interessant.</t>
  </si>
  <si>
    <t xml:space="preserve">4b</t>
  </si>
  <si>
    <t xml:space="preserve">🎤</t>
  </si>
  <si>
    <t xml:space="preserve">Interview</t>
  </si>
  <si>
    <t xml:space="preserve">Interviews</t>
  </si>
  <si>
    <t xml:space="preserve">interview</t>
  </si>
  <si>
    <t xml:space="preserve">Das Interview ist gut.</t>
  </si>
  <si>
    <t xml:space="preserve">❓</t>
  </si>
  <si>
    <t xml:space="preserve">W-Frage</t>
  </si>
  <si>
    <t xml:space="preserve">W-Fragen</t>
  </si>
  <si>
    <t xml:space="preserve">w-question</t>
  </si>
  <si>
    <t xml:space="preserve">Die W-Frage ist interessant.</t>
  </si>
  <si>
    <t xml:space="preserve">🤝</t>
  </si>
  <si>
    <t xml:space="preserve">Partner</t>
  </si>
  <si>
    <t xml:space="preserve">partner (m)</t>
  </si>
  <si>
    <t xml:space="preserve">Der Partner ist nett.</t>
  </si>
  <si>
    <t xml:space="preserve">5b</t>
  </si>
  <si>
    <t xml:space="preserve">Partnerin</t>
  </si>
  <si>
    <t xml:space="preserve">Partnerinnen</t>
  </si>
  <si>
    <t xml:space="preserve">partner (f)</t>
  </si>
  <si>
    <t xml:space="preserve">Die Partnerin ist nett.</t>
  </si>
  <si>
    <t xml:space="preserve">Buchstabe</t>
  </si>
  <si>
    <t xml:space="preserve">Buchstaben</t>
  </si>
  <si>
    <t xml:space="preserve">letter</t>
  </si>
  <si>
    <t xml:space="preserve">Der Buchstabe A ist gross.</t>
  </si>
  <si>
    <t xml:space="preserve">6a</t>
  </si>
  <si>
    <t xml:space="preserve">📱</t>
  </si>
  <si>
    <t xml:space="preserve">Handynummer</t>
  </si>
  <si>
    <t xml:space="preserve">Handynummern</t>
  </si>
  <si>
    <t xml:space="preserve">mobile number</t>
  </si>
  <si>
    <t xml:space="preserve">Die Handynummer ist interessant.</t>
  </si>
  <si>
    <t xml:space="preserve">6b</t>
  </si>
  <si>
    <t xml:space="preserve">☎</t>
  </si>
  <si>
    <t xml:space="preserve">Telefonnummer</t>
  </si>
  <si>
    <t xml:space="preserve">Telefonnummern</t>
  </si>
  <si>
    <t xml:space="preserve">phone number</t>
  </si>
  <si>
    <t xml:space="preserve">Die Telefonnummer ist interessant.</t>
  </si>
  <si>
    <t xml:space="preserve">6c</t>
  </si>
  <si>
    <t xml:space="preserve">🔡</t>
  </si>
  <si>
    <t xml:space="preserve">Alphabet</t>
  </si>
  <si>
    <t xml:space="preserve">Alphabete</t>
  </si>
  <si>
    <t xml:space="preserve">alphabet</t>
  </si>
  <si>
    <t xml:space="preserve">Das Alphabet hat 26 Buchstaben.</t>
  </si>
  <si>
    <t xml:space="preserve">7a</t>
  </si>
  <si>
    <t xml:space="preserve">📧</t>
  </si>
  <si>
    <t xml:space="preserve">E-Mail-Adresse</t>
  </si>
  <si>
    <t xml:space="preserve">E-Mail-Adressen</t>
  </si>
  <si>
    <t xml:space="preserve">email address</t>
  </si>
  <si>
    <t xml:space="preserve">Die E-Mail-Adresse ist interessant.</t>
  </si>
  <si>
    <t xml:space="preserve">7b</t>
  </si>
  <si>
    <t xml:space="preserve">💭</t>
  </si>
  <si>
    <t xml:space="preserve">Gespraech</t>
  </si>
  <si>
    <t xml:space="preserve">Gespraeche</t>
  </si>
  <si>
    <t xml:space="preserve">conversation</t>
  </si>
  <si>
    <t xml:space="preserve">Das Gespraech ist lang.</t>
  </si>
  <si>
    <t xml:space="preserve">⚫</t>
  </si>
  <si>
    <t xml:space="preserve">Punkt</t>
  </si>
  <si>
    <t xml:space="preserve">Punkte</t>
  </si>
  <si>
    <t xml:space="preserve">period / point</t>
  </si>
  <si>
    <t xml:space="preserve">Der Punkt steht am Satzende.</t>
  </si>
  <si>
    <t xml:space="preserve">➖</t>
  </si>
  <si>
    <t xml:space="preserve">Unterstrich</t>
  </si>
  <si>
    <t xml:space="preserve">Unterstriche</t>
  </si>
  <si>
    <t xml:space="preserve">underscore</t>
  </si>
  <si>
    <t xml:space="preserve">Der Unterstrich ist interessant.</t>
  </si>
  <si>
    <t xml:space="preserve">🗣</t>
  </si>
  <si>
    <t xml:space="preserve">Dialog</t>
  </si>
  <si>
    <t xml:space="preserve">Dialoge</t>
  </si>
  <si>
    <t xml:space="preserve">dialogue</t>
  </si>
  <si>
    <t xml:space="preserve">Der Dialog ist kurz.</t>
  </si>
  <si>
    <t xml:space="preserve">7c</t>
  </si>
  <si>
    <t xml:space="preserve">🔢</t>
  </si>
  <si>
    <t xml:space="preserve">Zahl</t>
  </si>
  <si>
    <t xml:space="preserve">Zahlen</t>
  </si>
  <si>
    <t xml:space="preserve">number</t>
  </si>
  <si>
    <t xml:space="preserve">Die Zahl ist gross.</t>
  </si>
  <si>
    <t xml:space="preserve">🌍</t>
  </si>
  <si>
    <t xml:space="preserve">Land</t>
  </si>
  <si>
    <t xml:space="preserve">Laender</t>
  </si>
  <si>
    <t xml:space="preserve">country</t>
  </si>
  <si>
    <t xml:space="preserve">Das Land ist gross.</t>
  </si>
  <si>
    <t xml:space="preserve">8a</t>
  </si>
  <si>
    <t xml:space="preserve">📊</t>
  </si>
  <si>
    <t xml:space="preserve">Tabelle</t>
  </si>
  <si>
    <t xml:space="preserve">Tabellen</t>
  </si>
  <si>
    <t xml:space="preserve">table / chart</t>
  </si>
  <si>
    <t xml:space="preserve">Die Tabelle ist gross.</t>
  </si>
  <si>
    <t xml:space="preserve">🏙</t>
  </si>
  <si>
    <t xml:space="preserve">Stadt</t>
  </si>
  <si>
    <t xml:space="preserve">Staedte</t>
  </si>
  <si>
    <t xml:space="preserve">city</t>
  </si>
  <si>
    <t xml:space="preserve">Die Stadt ist schoen.</t>
  </si>
  <si>
    <t xml:space="preserve">8e</t>
  </si>
  <si>
    <t xml:space="preserve">📄</t>
  </si>
  <si>
    <t xml:space="preserve">Text</t>
  </si>
  <si>
    <t xml:space="preserve">Texte</t>
  </si>
  <si>
    <t xml:space="preserve">text</t>
  </si>
  <si>
    <t xml:space="preserve">Der Text ist interessant.</t>
  </si>
  <si>
    <t xml:space="preserve">📚</t>
  </si>
  <si>
    <t xml:space="preserve">Grammatik</t>
  </si>
  <si>
    <t xml:space="preserve">Grammatiken</t>
  </si>
  <si>
    <t xml:space="preserve">grammar</t>
  </si>
  <si>
    <t xml:space="preserve">Die Grammatik ist wichtig.</t>
  </si>
  <si>
    <t xml:space="preserve">klar</t>
  </si>
  <si>
    <t xml:space="preserve">Redemittel</t>
  </si>
  <si>
    <t xml:space="preserve">useful phrases</t>
  </si>
  <si>
    <t xml:space="preserve">Das Redemittel ist interessant.</t>
  </si>
  <si>
    <t xml:space="preserve">🔍</t>
  </si>
  <si>
    <t xml:space="preserve">Subjekt</t>
  </si>
  <si>
    <t xml:space="preserve">Subjekte</t>
  </si>
  <si>
    <t xml:space="preserve">subject</t>
  </si>
  <si>
    <t xml:space="preserve">Das Subjekt ist interessant.</t>
  </si>
  <si>
    <t xml:space="preserve">W-Wort</t>
  </si>
  <si>
    <t xml:space="preserve">W-Woerter</t>
  </si>
  <si>
    <t xml:space="preserve">w-word</t>
  </si>
  <si>
    <t xml:space="preserve">Das W-Wort ist interessant.</t>
  </si>
  <si>
    <t xml:space="preserve">Complete Vocabulary List - Netzwerk Neu A1 (ALL words from all pages)</t>
  </si>
  <si>
    <t xml:space="preserve">Noun DER</t>
  </si>
  <si>
    <t xml:space="preserve">Noun DIE</t>
  </si>
  <si>
    <t xml:space="preserve">Noun DAS</t>
  </si>
  <si>
    <t xml:space="preserve">Number</t>
  </si>
  <si>
    <t xml:space="preserve">Country</t>
  </si>
  <si>
    <t xml:space="preserve">German Word</t>
  </si>
  <si>
    <t xml:space="preserve">Type</t>
  </si>
  <si>
    <t xml:space="preserve">Notes</t>
  </si>
  <si>
    <t xml:space="preserve">noun (die)</t>
  </si>
  <si>
    <t xml:space="preserve">plural: Autobahnen</t>
  </si>
  <si>
    <t xml:space="preserve">noun (das)</t>
  </si>
  <si>
    <t xml:space="preserve">plural: Butterbrote</t>
  </si>
  <si>
    <t xml:space="preserve">plural: Flaschen</t>
  </si>
  <si>
    <t xml:space="preserve">plural: Handtuecher</t>
  </si>
  <si>
    <t xml:space="preserve">noun (der)</t>
  </si>
  <si>
    <t xml:space="preserve">plural: Kindergaerten</t>
  </si>
  <si>
    <t xml:space="preserve">plural: Koffer</t>
  </si>
  <si>
    <t xml:space="preserve">plural: Kranken</t>
  </si>
  <si>
    <t xml:space="preserve">plural: Nudeln</t>
  </si>
  <si>
    <t xml:space="preserve">plural: Wuerstchen</t>
  </si>
  <si>
    <t xml:space="preserve">plural: Wurstel</t>
  </si>
  <si>
    <t xml:space="preserve">plural: Sprachen</t>
  </si>
  <si>
    <t xml:space="preserve">plural: Woerter</t>
  </si>
  <si>
    <t xml:space="preserve">plural: Entschuldigungen</t>
  </si>
  <si>
    <t xml:space="preserve">plural: Personen</t>
  </si>
  <si>
    <t xml:space="preserve">plural: Situationen</t>
  </si>
  <si>
    <t xml:space="preserve">plural: Namen</t>
  </si>
  <si>
    <t xml:space="preserve">plural: Kursplakate</t>
  </si>
  <si>
    <t xml:space="preserve">plural: Nachnamen</t>
  </si>
  <si>
    <t xml:space="preserve">plural: Personalpronomen</t>
  </si>
  <si>
    <t xml:space="preserve">plural: Verben</t>
  </si>
  <si>
    <t xml:space="preserve">plural: Vornamen</t>
  </si>
  <si>
    <t xml:space="preserve">plural: Antworten</t>
  </si>
  <si>
    <t xml:space="preserve">plural: Reisefuehrer</t>
  </si>
  <si>
    <t xml:space="preserve">plural: Reisefuehrerinnen</t>
  </si>
  <si>
    <t xml:space="preserve">plural: Telefone</t>
  </si>
  <si>
    <t xml:space="preserve">plural: Aussagesaetze</t>
  </si>
  <si>
    <t xml:space="preserve">plural: Interviews</t>
  </si>
  <si>
    <t xml:space="preserve">plural: W-Fragen</t>
  </si>
  <si>
    <t xml:space="preserve">plural: Partner</t>
  </si>
  <si>
    <t xml:space="preserve">plural: Partnerinnen</t>
  </si>
  <si>
    <t xml:space="preserve">plural: Buchstaben</t>
  </si>
  <si>
    <t xml:space="preserve">plural: Handynummern</t>
  </si>
  <si>
    <t xml:space="preserve">plural: Telefonnummern</t>
  </si>
  <si>
    <t xml:space="preserve">plural: Alphabete</t>
  </si>
  <si>
    <t xml:space="preserve">plural: E-Mail-Adressen</t>
  </si>
  <si>
    <t xml:space="preserve">plural: Gespraeche</t>
  </si>
  <si>
    <t xml:space="preserve">plural: Punkte</t>
  </si>
  <si>
    <t xml:space="preserve">plural: Unterstriche</t>
  </si>
  <si>
    <t xml:space="preserve">plural: Dialoge</t>
  </si>
  <si>
    <t xml:space="preserve">plural: Zahlen</t>
  </si>
  <si>
    <t xml:space="preserve">plural: Laender</t>
  </si>
  <si>
    <t xml:space="preserve">plural: Tabellen</t>
  </si>
  <si>
    <t xml:space="preserve">plural: Staedte</t>
  </si>
  <si>
    <t xml:space="preserve">plural: Texte</t>
  </si>
  <si>
    <t xml:space="preserve">plural: Grammatiken</t>
  </si>
  <si>
    <t xml:space="preserve">plural: Redemittel</t>
  </si>
  <si>
    <t xml:space="preserve">plural: Subjekte</t>
  </si>
  <si>
    <t xml:space="preserve">plural: W-Woerter</t>
  </si>
  <si>
    <t xml:space="preserve">🇧🇬</t>
  </si>
  <si>
    <t xml:space="preserve">Bulgarisch</t>
  </si>
  <si>
    <t xml:space="preserve">Bulgarian</t>
  </si>
  <si>
    <t xml:space="preserve">🇩🇪</t>
  </si>
  <si>
    <t xml:space="preserve">Deutsch</t>
  </si>
  <si>
    <t xml:space="preserve">German</t>
  </si>
  <si>
    <t xml:space="preserve">🇬🇧</t>
  </si>
  <si>
    <t xml:space="preserve">Englisch</t>
  </si>
  <si>
    <t xml:space="preserve">🇮🇩</t>
  </si>
  <si>
    <t xml:space="preserve">Indonesisch</t>
  </si>
  <si>
    <t xml:space="preserve">Indonesian</t>
  </si>
  <si>
    <t xml:space="preserve">🇮🇹</t>
  </si>
  <si>
    <t xml:space="preserve">Italienisch</t>
  </si>
  <si>
    <t xml:space="preserve">Italian</t>
  </si>
  <si>
    <t xml:space="preserve">🇯🇵</t>
  </si>
  <si>
    <t xml:space="preserve">Japanisch</t>
  </si>
  <si>
    <t xml:space="preserve">Japanese</t>
  </si>
  <si>
    <t xml:space="preserve">🇷🇺</t>
  </si>
  <si>
    <t xml:space="preserve">Russisch</t>
  </si>
  <si>
    <t xml:space="preserve">Russian</t>
  </si>
  <si>
    <t xml:space="preserve">🇷🇸</t>
  </si>
  <si>
    <t xml:space="preserve">Serbisch</t>
  </si>
  <si>
    <t xml:space="preserve">Serbian</t>
  </si>
  <si>
    <t xml:space="preserve">🇹🇷</t>
  </si>
  <si>
    <t xml:space="preserve">Tuerkisch</t>
  </si>
  <si>
    <t xml:space="preserve">Turkish</t>
  </si>
  <si>
    <t xml:space="preserve">🇭🇺</t>
  </si>
  <si>
    <t xml:space="preserve">Ungarisch</t>
  </si>
  <si>
    <t xml:space="preserve">Hungarian</t>
  </si>
  <si>
    <t xml:space="preserve">🇪🇸</t>
  </si>
  <si>
    <t xml:space="preserve">Spanisch</t>
  </si>
  <si>
    <t xml:space="preserve">Spanish</t>
  </si>
  <si>
    <t xml:space="preserve">🇫🇷</t>
  </si>
  <si>
    <t xml:space="preserve">Franzoesisch</t>
  </si>
  <si>
    <t xml:space="preserve">French</t>
  </si>
  <si>
    <t xml:space="preserve">🇵🇱</t>
  </si>
  <si>
    <t xml:space="preserve">Polnisch</t>
  </si>
  <si>
    <t xml:space="preserve">Polish</t>
  </si>
  <si>
    <t xml:space="preserve">Raetoromanisch</t>
  </si>
  <si>
    <t xml:space="preserve">Raetho-Romanic</t>
  </si>
  <si>
    <t xml:space="preserve">🇵🇹</t>
  </si>
  <si>
    <t xml:space="preserve">Portugiesisch</t>
  </si>
  <si>
    <t xml:space="preserve">Portugese</t>
  </si>
  <si>
    <t xml:space="preserve">🇸🇦</t>
  </si>
  <si>
    <t xml:space="preserve">Arabisch</t>
  </si>
  <si>
    <t xml:space="preserve">Arabic</t>
  </si>
  <si>
    <t xml:space="preserve">Deutschland</t>
  </si>
  <si>
    <t xml:space="preserve">Germany</t>
  </si>
  <si>
    <t xml:space="preserve">🇦🇹</t>
  </si>
  <si>
    <t xml:space="preserve">Oesterreich</t>
  </si>
  <si>
    <t xml:space="preserve">Austria</t>
  </si>
  <si>
    <t xml:space="preserve">Japan</t>
  </si>
  <si>
    <t xml:space="preserve">🇧🇷</t>
  </si>
  <si>
    <t xml:space="preserve">Brasilien</t>
  </si>
  <si>
    <t xml:space="preserve">Brasil</t>
  </si>
  <si>
    <t xml:space="preserve">🇩🇿</t>
  </si>
  <si>
    <t xml:space="preserve">Algerien</t>
  </si>
  <si>
    <t xml:space="preserve">Algeria</t>
  </si>
  <si>
    <t xml:space="preserve">Frankreich</t>
  </si>
  <si>
    <t xml:space="preserve">France</t>
  </si>
  <si>
    <t xml:space="preserve">🇬🇷</t>
  </si>
  <si>
    <t xml:space="preserve">Griechenland</t>
  </si>
  <si>
    <t xml:space="preserve">Greece</t>
  </si>
  <si>
    <t xml:space="preserve">Italien</t>
  </si>
  <si>
    <t xml:space="preserve">Italy</t>
  </si>
  <si>
    <t xml:space="preserve">🇲🇽</t>
  </si>
  <si>
    <t xml:space="preserve">Mexiko</t>
  </si>
  <si>
    <t xml:space="preserve">Mexico</t>
  </si>
  <si>
    <t xml:space="preserve">Portugal</t>
  </si>
  <si>
    <t xml:space="preserve">🇹🇭</t>
  </si>
  <si>
    <t xml:space="preserve">Thailand</t>
  </si>
  <si>
    <t xml:space="preserve">Polen</t>
  </si>
  <si>
    <t xml:space="preserve">Poland</t>
  </si>
  <si>
    <t xml:space="preserve">Russland</t>
  </si>
  <si>
    <t xml:space="preserve">Russia</t>
  </si>
  <si>
    <t xml:space="preserve">Spanien</t>
  </si>
  <si>
    <t xml:space="preserve">Spain</t>
  </si>
  <si>
    <t xml:space="preserve">🇨🇭</t>
  </si>
  <si>
    <t xml:space="preserve">die Schweiz</t>
  </si>
  <si>
    <t xml:space="preserve">Switzerland</t>
  </si>
  <si>
    <t xml:space="preserve">die Tuerkei</t>
  </si>
  <si>
    <t xml:space="preserve">Turkey</t>
  </si>
  <si>
    <t xml:space="preserve">🇺🇦</t>
  </si>
  <si>
    <t xml:space="preserve">die Ukraine</t>
  </si>
  <si>
    <t xml:space="preserve">Ukraine</t>
  </si>
  <si>
    <t xml:space="preserve">0️⃣</t>
  </si>
  <si>
    <t xml:space="preserve">null</t>
  </si>
  <si>
    <t xml:space="preserve">zero</t>
  </si>
  <si>
    <t xml:space="preserve">1️⃣</t>
  </si>
  <si>
    <t xml:space="preserve">eins</t>
  </si>
  <si>
    <t xml:space="preserve">one</t>
  </si>
  <si>
    <t xml:space="preserve">2️⃣</t>
  </si>
  <si>
    <t xml:space="preserve">zwei</t>
  </si>
  <si>
    <t xml:space="preserve">two</t>
  </si>
  <si>
    <t xml:space="preserve">3️⃣</t>
  </si>
  <si>
    <t xml:space="preserve">drei</t>
  </si>
  <si>
    <t xml:space="preserve">three</t>
  </si>
  <si>
    <t xml:space="preserve">4️⃣</t>
  </si>
  <si>
    <t xml:space="preserve">vier</t>
  </si>
  <si>
    <t xml:space="preserve">four</t>
  </si>
  <si>
    <t xml:space="preserve">5️⃣</t>
  </si>
  <si>
    <t xml:space="preserve">fuenf</t>
  </si>
  <si>
    <t xml:space="preserve">five</t>
  </si>
  <si>
    <t xml:space="preserve">6️⃣</t>
  </si>
  <si>
    <t xml:space="preserve">sechs</t>
  </si>
  <si>
    <t xml:space="preserve">six</t>
  </si>
  <si>
    <t xml:space="preserve">7️⃣</t>
  </si>
  <si>
    <t xml:space="preserve">sieben</t>
  </si>
  <si>
    <t xml:space="preserve">seven</t>
  </si>
  <si>
    <t xml:space="preserve">8️⃣</t>
  </si>
  <si>
    <t xml:space="preserve">acht</t>
  </si>
  <si>
    <t xml:space="preserve">eight</t>
  </si>
  <si>
    <t xml:space="preserve">9️⃣</t>
  </si>
  <si>
    <t xml:space="preserve">neun</t>
  </si>
  <si>
    <t xml:space="preserve">nine</t>
  </si>
  <si>
    <t xml:space="preserve">🔟</t>
  </si>
  <si>
    <t xml:space="preserve">zehn</t>
  </si>
  <si>
    <t xml:space="preserve">ten</t>
  </si>
  <si>
    <t xml:space="preserve">elf</t>
  </si>
  <si>
    <t xml:space="preserve">eleven</t>
  </si>
  <si>
    <t xml:space="preserve">zwoelf</t>
  </si>
  <si>
    <t xml:space="preserve">twelve</t>
  </si>
  <si>
    <t xml:space="preserve">dreizehn</t>
  </si>
  <si>
    <t xml:space="preserve">thirteen</t>
  </si>
  <si>
    <t xml:space="preserve">vierzehn</t>
  </si>
  <si>
    <t xml:space="preserve">fourteen</t>
  </si>
  <si>
    <t xml:space="preserve">fuenfzehn</t>
  </si>
  <si>
    <t xml:space="preserve">fifteen</t>
  </si>
  <si>
    <t xml:space="preserve">sechzehn</t>
  </si>
  <si>
    <t xml:space="preserve">sixteen</t>
  </si>
  <si>
    <t xml:space="preserve">siebzehn</t>
  </si>
  <si>
    <t xml:space="preserve">seventeen</t>
  </si>
  <si>
    <t xml:space="preserve">achtzehn</t>
  </si>
  <si>
    <t xml:space="preserve">eighteen</t>
  </si>
  <si>
    <t xml:space="preserve">neunzehn</t>
  </si>
  <si>
    <t xml:space="preserve">nineteen</t>
  </si>
  <si>
    <t xml:space="preserve">zwanzig</t>
  </si>
  <si>
    <t xml:space="preserve">twenty</t>
  </si>
  <si>
    <t xml:space="preserve">👋</t>
  </si>
  <si>
    <t xml:space="preserve">guten Tag</t>
  </si>
  <si>
    <t xml:space="preserve">phrase</t>
  </si>
  <si>
    <t xml:space="preserve">Good day! / Hello!</t>
  </si>
  <si>
    <t xml:space="preserve">hallo</t>
  </si>
  <si>
    <t xml:space="preserve">hello</t>
  </si>
  <si>
    <t xml:space="preserve">tschuess</t>
  </si>
  <si>
    <t xml:space="preserve">bye</t>
  </si>
  <si>
    <t xml:space="preserve">ciao</t>
  </si>
  <si>
    <t xml:space="preserve">bis bald</t>
  </si>
  <si>
    <t xml:space="preserve">see you soon</t>
  </si>
  <si>
    <t xml:space="preserve">auf Wiedersehen</t>
  </si>
  <si>
    <t xml:space="preserve">goodbye</t>
  </si>
  <si>
    <t xml:space="preserve">🌙</t>
  </si>
  <si>
    <t xml:space="preserve">gute Nacht</t>
  </si>
  <si>
    <t xml:space="preserve">good night</t>
  </si>
  <si>
    <t xml:space="preserve">🌆</t>
  </si>
  <si>
    <t xml:space="preserve">guten Abend</t>
  </si>
  <si>
    <t xml:space="preserve">good evening</t>
  </si>
  <si>
    <t xml:space="preserve">🌅</t>
  </si>
  <si>
    <t xml:space="preserve">guten Morgen</t>
  </si>
  <si>
    <t xml:space="preserve">good morning</t>
  </si>
  <si>
    <t xml:space="preserve">danke</t>
  </si>
  <si>
    <t xml:space="preserve">thank you</t>
  </si>
  <si>
    <t xml:space="preserve">bitte</t>
  </si>
  <si>
    <t xml:space="preserve">please</t>
  </si>
  <si>
    <t xml:space="preserve">heissen</t>
  </si>
  <si>
    <t xml:space="preserve">to be called</t>
  </si>
  <si>
    <t xml:space="preserve">🔵</t>
  </si>
  <si>
    <t xml:space="preserve">sein</t>
  </si>
  <si>
    <t xml:space="preserve">to be</t>
  </si>
  <si>
    <t xml:space="preserve">✋</t>
  </si>
  <si>
    <t xml:space="preserve">haben</t>
  </si>
  <si>
    <t xml:space="preserve">to have</t>
  </si>
  <si>
    <t xml:space="preserve">🚶</t>
  </si>
  <si>
    <t xml:space="preserve">gehen</t>
  </si>
  <si>
    <t xml:space="preserve">to go</t>
  </si>
  <si>
    <t xml:space="preserve">🏠</t>
  </si>
  <si>
    <t xml:space="preserve">kommen</t>
  </si>
  <si>
    <t xml:space="preserve">to come from</t>
  </si>
  <si>
    <t xml:space="preserve">wohnen</t>
  </si>
  <si>
    <t xml:space="preserve">to live</t>
  </si>
  <si>
    <t xml:space="preserve">sprechen</t>
  </si>
  <si>
    <t xml:space="preserve">to speak</t>
  </si>
  <si>
    <t xml:space="preserve">lernen</t>
  </si>
  <si>
    <t xml:space="preserve">to learn</t>
  </si>
  <si>
    <t xml:space="preserve">🔨</t>
  </si>
  <si>
    <t xml:space="preserve">machen</t>
  </si>
  <si>
    <t xml:space="preserve">to make / do</t>
  </si>
  <si>
    <t xml:space="preserve">kennen</t>
  </si>
  <si>
    <t xml:space="preserve">to know</t>
  </si>
  <si>
    <t xml:space="preserve">👂</t>
  </si>
  <si>
    <t xml:space="preserve">hören</t>
  </si>
  <si>
    <t xml:space="preserve">to hear</t>
  </si>
  <si>
    <t xml:space="preserve">lesen</t>
  </si>
  <si>
    <t xml:space="preserve">to read</t>
  </si>
  <si>
    <t xml:space="preserve">✍</t>
  </si>
  <si>
    <t xml:space="preserve">schreiben</t>
  </si>
  <si>
    <t xml:space="preserve">to write</t>
  </si>
  <si>
    <t xml:space="preserve">sagen</t>
  </si>
  <si>
    <t xml:space="preserve">to say</t>
  </si>
  <si>
    <t xml:space="preserve">🎮</t>
  </si>
  <si>
    <t xml:space="preserve">spielen</t>
  </si>
  <si>
    <t xml:space="preserve">to play</t>
  </si>
  <si>
    <t xml:space="preserve">📦</t>
  </si>
  <si>
    <t xml:space="preserve">sammeln</t>
  </si>
  <si>
    <t xml:space="preserve">to collect</t>
  </si>
  <si>
    <t xml:space="preserve">fragen</t>
  </si>
  <si>
    <t xml:space="preserve">to ask</t>
  </si>
  <si>
    <t xml:space="preserve">verstehen</t>
  </si>
  <si>
    <t xml:space="preserve">to understand</t>
  </si>
  <si>
    <t xml:space="preserve">🔗</t>
  </si>
  <si>
    <t xml:space="preserve">zulordnen</t>
  </si>
  <si>
    <t xml:space="preserve">to assign / match</t>
  </si>
  <si>
    <t xml:space="preserve">buchstabieren</t>
  </si>
  <si>
    <t xml:space="preserve">to spell</t>
  </si>
  <si>
    <t xml:space="preserve">mitsprechen</t>
  </si>
  <si>
    <t xml:space="preserve">to speak along</t>
  </si>
  <si>
    <t xml:space="preserve">grüssen</t>
  </si>
  <si>
    <t xml:space="preserve">to greet</t>
  </si>
  <si>
    <t xml:space="preserve">⚡</t>
  </si>
  <si>
    <t xml:space="preserve">reagieren</t>
  </si>
  <si>
    <t xml:space="preserve">to react</t>
  </si>
  <si>
    <t xml:space="preserve">vorstellen</t>
  </si>
  <si>
    <t xml:space="preserve">to introduce</t>
  </si>
  <si>
    <t xml:space="preserve">🔄</t>
  </si>
  <si>
    <t xml:space="preserve">variieren</t>
  </si>
  <si>
    <t xml:space="preserve">to vary</t>
  </si>
  <si>
    <t xml:space="preserve">✏</t>
  </si>
  <si>
    <t xml:space="preserve">ergaenzen</t>
  </si>
  <si>
    <t xml:space="preserve">to complete</t>
  </si>
  <si>
    <t xml:space="preserve">notieren</t>
  </si>
  <si>
    <t xml:space="preserve">to note</t>
  </si>
  <si>
    <t xml:space="preserve">🤔</t>
  </si>
  <si>
    <t xml:space="preserve">raten</t>
  </si>
  <si>
    <t xml:space="preserve">to guess</t>
  </si>
  <si>
    <t xml:space="preserve">👍</t>
  </si>
  <si>
    <t xml:space="preserve">gut</t>
  </si>
  <si>
    <t xml:space="preserve">adjective</t>
  </si>
  <si>
    <t xml:space="preserve">good</t>
  </si>
  <si>
    <t xml:space="preserve">🌐</t>
  </si>
  <si>
    <t xml:space="preserve">international</t>
  </si>
  <si>
    <t xml:space="preserve">🎩</t>
  </si>
  <si>
    <t xml:space="preserve">formell</t>
  </si>
  <si>
    <t xml:space="preserve">formal</t>
  </si>
  <si>
    <t xml:space="preserve">😊</t>
  </si>
  <si>
    <t xml:space="preserve">informell</t>
  </si>
  <si>
    <t xml:space="preserve">informal</t>
  </si>
  <si>
    <t xml:space="preserve">📢</t>
  </si>
  <si>
    <t xml:space="preserve">laut</t>
  </si>
  <si>
    <t xml:space="preserve">loud</t>
  </si>
  <si>
    <t xml:space="preserve">🐢</t>
  </si>
  <si>
    <t xml:space="preserve">langsam</t>
  </si>
  <si>
    <t xml:space="preserve">slow</t>
  </si>
  <si>
    <t xml:space="preserve">📏</t>
  </si>
  <si>
    <t xml:space="preserve">kurz</t>
  </si>
  <si>
    <t xml:space="preserve">short</t>
  </si>
  <si>
    <t xml:space="preserve">⭐</t>
  </si>
  <si>
    <t xml:space="preserve">bekannt</t>
  </si>
  <si>
    <t xml:space="preserve">well-known</t>
  </si>
  <si>
    <t xml:space="preserve">sehr</t>
  </si>
  <si>
    <t xml:space="preserve">adverb</t>
  </si>
  <si>
    <t xml:space="preserve">very</t>
  </si>
  <si>
    <t xml:space="preserve">➕</t>
  </si>
  <si>
    <t xml:space="preserve">auch</t>
  </si>
  <si>
    <t xml:space="preserve">also</t>
  </si>
  <si>
    <t xml:space="preserve">❌</t>
  </si>
  <si>
    <t xml:space="preserve">nicht</t>
  </si>
  <si>
    <t xml:space="preserve">not</t>
  </si>
  <si>
    <t xml:space="preserve">🔁</t>
  </si>
  <si>
    <t xml:space="preserve">noch einmal</t>
  </si>
  <si>
    <t xml:space="preserve">once more</t>
  </si>
  <si>
    <t xml:space="preserve">zuerst</t>
  </si>
  <si>
    <t xml:space="preserve">at first</t>
  </si>
  <si>
    <t xml:space="preserve">✨</t>
  </si>
  <si>
    <t xml:space="preserve">ganz</t>
  </si>
  <si>
    <t xml:space="preserve">pretty / quite</t>
  </si>
  <si>
    <t xml:space="preserve">➡</t>
  </si>
  <si>
    <t xml:space="preserve">dann</t>
  </si>
  <si>
    <t xml:space="preserve">then</t>
  </si>
  <si>
    <t xml:space="preserve">🙋</t>
  </si>
  <si>
    <t xml:space="preserve">ich</t>
  </si>
  <si>
    <t xml:space="preserve">pronoun</t>
  </si>
  <si>
    <t xml:space="preserve">I</t>
  </si>
  <si>
    <t xml:space="preserve">🫵</t>
  </si>
  <si>
    <t xml:space="preserve">du</t>
  </si>
  <si>
    <t xml:space="preserve">you (informal)</t>
  </si>
  <si>
    <t xml:space="preserve">👦</t>
  </si>
  <si>
    <t xml:space="preserve">er</t>
  </si>
  <si>
    <t xml:space="preserve">he</t>
  </si>
  <si>
    <t xml:space="preserve">👧</t>
  </si>
  <si>
    <t xml:space="preserve">sie</t>
  </si>
  <si>
    <t xml:space="preserve">she / they</t>
  </si>
  <si>
    <t xml:space="preserve">Sie</t>
  </si>
  <si>
    <t xml:space="preserve">you (formal)</t>
  </si>
  <si>
    <t xml:space="preserve">wer</t>
  </si>
  <si>
    <t xml:space="preserve">who</t>
  </si>
  <si>
    <t xml:space="preserve">was</t>
  </si>
  <si>
    <t xml:space="preserve">what</t>
  </si>
  <si>
    <t xml:space="preserve">📍</t>
  </si>
  <si>
    <t xml:space="preserve">wo</t>
  </si>
  <si>
    <t xml:space="preserve">where</t>
  </si>
  <si>
    <t xml:space="preserve">🧭</t>
  </si>
  <si>
    <t xml:space="preserve">woher</t>
  </si>
  <si>
    <t xml:space="preserve">from where</t>
  </si>
  <si>
    <t xml:space="preserve">❔</t>
  </si>
  <si>
    <t xml:space="preserve">wie</t>
  </si>
  <si>
    <t xml:space="preserve">how / what</t>
  </si>
  <si>
    <t xml:space="preserve">und</t>
  </si>
  <si>
    <t xml:space="preserve">and</t>
  </si>
  <si>
    <t xml:space="preserve">🔀</t>
  </si>
  <si>
    <t xml:space="preserve">oder</t>
  </si>
  <si>
    <t xml:space="preserve">or</t>
  </si>
  <si>
    <t xml:space="preserve">ein/eine</t>
  </si>
  <si>
    <t xml:space="preserve">a / an</t>
  </si>
  <si>
    <t xml:space="preserve">💙</t>
  </si>
  <si>
    <t xml:space="preserve">mein/meine</t>
  </si>
  <si>
    <t xml:space="preserve">my</t>
  </si>
  <si>
    <t xml:space="preserve">👨</t>
  </si>
  <si>
    <t xml:space="preserve">Herr</t>
  </si>
  <si>
    <t xml:space="preserve">Mr</t>
  </si>
  <si>
    <t xml:space="preserve">👩</t>
  </si>
  <si>
    <t xml:space="preserve">Frau</t>
  </si>
  <si>
    <t xml:space="preserve">Miss/Mrs/Ms</t>
  </si>
  <si>
    <t xml:space="preserve">minus</t>
  </si>
  <si>
    <t xml:space="preserve">in</t>
  </si>
  <si>
    <t xml:space="preserve">aus</t>
  </si>
  <si>
    <t xml:space="preserve">from</t>
  </si>
  <si>
    <t xml:space="preserve">auf</t>
  </si>
  <si>
    <t xml:space="preserve">in / on</t>
  </si>
  <si>
    <t xml:space="preserve">🤏</t>
  </si>
  <si>
    <t xml:space="preserve">ein bisschen</t>
  </si>
  <si>
    <t xml:space="preserve">a little</t>
  </si>
  <si>
    <t xml:space="preserve">GAME 1: Match the Article!  Type DER / DIE / DAS in the yellow box</t>
  </si>
  <si>
    <t xml:space="preserve">PINK = DER (masculine)   PURPLE = DIE (feminine)   BLUE = DAS (neuter)</t>
  </si>
  <si>
    <t xml:space="preserve">Your Answer (DER/DIE/DAS)</t>
  </si>
  <si>
    <t xml:space="preserve">Result</t>
  </si>
  <si>
    <t xml:space="preserve">GAME 2: Make it Plural!  Write the plural form in the yellow box</t>
  </si>
  <si>
    <t xml:space="preserve">Example: die Flasche &gt; die Flaschen   |   der Koffer &gt; die Koffer (no change!)</t>
  </si>
  <si>
    <t xml:space="preserve">Singular</t>
  </si>
  <si>
    <t xml:space="preserve">Plural (your answer)</t>
  </si>
  <si>
    <t xml:space="preserve">GAME 3: Sort by Gender Colour!  All nouns sorted by article</t>
  </si>
  <si>
    <t xml:space="preserve">DER words (masculine) - PINK</t>
  </si>
  <si>
    <t xml:space="preserve">DIE words (feminine) - PURPLE</t>
  </si>
  <si>
    <t xml:space="preserve">DAS words (neuter) - BLUE</t>
  </si>
  <si>
    <t xml:space="preserve">GAME 4: Vocabulary Quiz!  What does each word mean in English?</t>
  </si>
  <si>
    <t xml:space="preserve">Look at the German word and write its English meaning in the YELLOW box!</t>
  </si>
  <si>
    <t xml:space="preserve">English Meaning (your answer)</t>
  </si>
  <si>
    <t xml:space="preserve">My German Learning Score</t>
  </si>
  <si>
    <t xml:space="preserve">Activity</t>
  </si>
  <si>
    <t xml:space="preserve">My Score</t>
  </si>
  <si>
    <t xml:space="preserve">Max Score</t>
  </si>
  <si>
    <t xml:space="preserve">Game 1: Gender Match (DER/DIE/DAS)</t>
  </si>
  <si>
    <t xml:space="preserve">Game 2: Plural Challenge</t>
  </si>
  <si>
    <t xml:space="preserve">Game 3: Colour Sort practice</t>
  </si>
  <si>
    <t xml:space="preserve">Game 4: Vocabulary Quiz</t>
  </si>
  <si>
    <t xml:space="preserve">TOTAL</t>
  </si>
  <si>
    <t xml:space="preserve">Total vocabulary: 177 words from Netzwerk Neu A1!  You can do it!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</si>
</sst>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2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3"/>
      <color rgb="FFFF6B00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2D3047"/>
        <bgColor rgb="FF333300"/>
      </patternFill>
    </fill>
    <fill>
      <patternFill patternType="solid">
        <fgColor rgb="FFFF6B9D"/>
        <bgColor rgb="FFF3722C"/>
      </patternFill>
    </fill>
    <fill>
      <patternFill patternType="solid">
        <fgColor rgb="FFC77DFF"/>
        <bgColor rgb="FFFF6B9D"/>
      </patternFill>
    </fill>
    <fill>
      <patternFill patternType="solid">
        <fgColor rgb="FF4CC9F0"/>
        <bgColor rgb="FF06D6A0"/>
      </patternFill>
    </fill>
    <fill>
      <patternFill patternType="solid">
        <fgColor rgb="FF3A0CA3"/>
        <bgColor rgb="FF7209B7"/>
      </patternFill>
    </fill>
    <fill>
      <patternFill patternType="solid">
        <fgColor rgb="FFFFF9E6"/>
        <bgColor rgb="FFF5F5F5"/>
      </patternFill>
    </fill>
    <fill>
      <patternFill patternType="solid">
        <fgColor rgb="FFF8F8FF"/>
        <bgColor rgb="FFF5F5F5"/>
      </patternFill>
    </fill>
    <fill>
      <patternFill patternType="solid">
        <fgColor rgb="FF0B5394"/>
        <bgColor rgb="FF0077B6"/>
      </patternFill>
    </fill>
    <fill>
      <patternFill patternType="solid">
        <fgColor rgb="FFD0F0C0"/>
        <bgColor rgb="FFE8F5E9"/>
      </patternFill>
    </fill>
    <fill>
      <patternFill patternType="solid">
        <fgColor rgb="FFF3E5F5"/>
        <bgColor rgb="FFFCE4EC"/>
      </patternFill>
    </fill>
    <fill>
      <patternFill patternType="solid">
        <fgColor rgb="FFE1F5FE"/>
        <bgColor rgb="FFE8F5E9"/>
      </patternFill>
    </fill>
    <fill>
      <patternFill patternType="solid">
        <fgColor rgb="FFF0F8FF"/>
        <bgColor rgb="FFF8F8FF"/>
      </patternFill>
    </fill>
    <fill>
      <patternFill patternType="solid">
        <fgColor rgb="FFFFE0B2"/>
        <bgColor rgb="FFFFE5B4"/>
      </patternFill>
    </fill>
    <fill>
      <patternFill patternType="solid">
        <fgColor rgb="FFE8F5E9"/>
        <bgColor rgb="FFE1F5FE"/>
      </patternFill>
    </fill>
    <fill>
      <patternFill patternType="solid">
        <fgColor rgb="FFFFF9C4"/>
        <bgColor rgb="FFFFF9E6"/>
      </patternFill>
    </fill>
    <fill>
      <patternFill patternType="solid">
        <fgColor rgb="FFFCE4EC"/>
        <bgColor rgb="FFF3E5F5"/>
      </patternFill>
    </fill>
    <fill>
      <patternFill patternType="solid">
        <fgColor rgb="FFF5F5F5"/>
        <bgColor rgb="FFF8F8FF"/>
      </patternFill>
    </fill>
    <fill>
      <patternFill patternType="solid">
        <fgColor rgb="FF7209B7"/>
        <bgColor rgb="FF800080"/>
      </patternFill>
    </fill>
    <fill>
      <patternFill patternType="solid">
        <fgColor rgb="FFFFE5B4"/>
        <bgColor rgb="FFFFE0B2"/>
      </patternFill>
    </fill>
    <fill>
      <patternFill patternType="solid">
        <fgColor rgb="FFFFFF99"/>
        <bgColor rgb="FFFFF9C4"/>
      </patternFill>
    </fill>
    <fill>
      <patternFill patternType="solid">
        <fgColor rgb="FFF3722C"/>
        <bgColor rgb="FFFF6B00"/>
      </patternFill>
    </fill>
    <fill>
      <patternFill patternType="solid">
        <fgColor rgb="FF06D6A0"/>
        <bgColor rgb="FF00FFFF"/>
      </patternFill>
    </fill>
    <fill>
      <patternFill patternType="solid">
        <fgColor rgb="FF0077B6"/>
        <bgColor rgb="FF008080"/>
      </patternFill>
    </fill>
    <fill>
      <patternFill patternType="solid">
        <fgColor rgb="FF70E000"/>
        <bgColor rgb="FF00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9E6"/>
      <rgbColor rgb="FFFF00FF"/>
      <rgbColor rgb="FF00FFFF"/>
      <rgbColor rgb="FF800000"/>
      <rgbColor rgb="FF008000"/>
      <rgbColor rgb="FF000080"/>
      <rgbColor rgb="FF808000"/>
      <rgbColor rgb="FF7209B7"/>
      <rgbColor rgb="FF008080"/>
      <rgbColor rgb="FFCCCCCC"/>
      <rgbColor rgb="FF888888"/>
      <rgbColor rgb="FFF0F8FF"/>
      <rgbColor rgb="FF993366"/>
      <rgbColor rgb="FFFFF9C4"/>
      <rgbColor rgb="FFE1F5FE"/>
      <rgbColor rgb="FF660066"/>
      <rgbColor rgb="FFFF6B9D"/>
      <rgbColor rgb="FF0077B6"/>
      <rgbColor rgb="FFF3E5F5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6D6A0"/>
      <rgbColor rgb="FFE8F5E9"/>
      <rgbColor rgb="FFD0F0C0"/>
      <rgbColor rgb="FFFFFF99"/>
      <rgbColor rgb="FFFCE4EC"/>
      <rgbColor rgb="FFFFE5B4"/>
      <rgbColor rgb="FFC77DFF"/>
      <rgbColor rgb="FFFFE0B2"/>
      <rgbColor rgb="FF3366FF"/>
      <rgbColor rgb="FF4CC9F0"/>
      <rgbColor rgb="FF70E000"/>
      <rgbColor rgb="FFFFD700"/>
      <rgbColor rgb="FFF3722C"/>
      <rgbColor rgb="FFFF6B00"/>
      <rgbColor rgb="FF666699"/>
      <rgbColor rgb="FFF8F8FF"/>
      <rgbColor rgb="FF0B5394"/>
      <rgbColor rgb="FF339966"/>
      <rgbColor rgb="FF003300"/>
      <rgbColor rgb="FF333300"/>
      <rgbColor rgb="FF993300"/>
      <rgbColor rgb="FF993366"/>
      <rgbColor rgb="FF3A0CA3"/>
      <rgbColor rgb="FF2D30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0CA3"/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8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B2" s="2" t="s">
        <v>1</v>
      </c>
      <c r="C2" s="2"/>
      <c r="D2" s="3" t="s">
        <v>2</v>
      </c>
      <c r="E2" s="3"/>
      <c r="F2" s="4" t="s">
        <v>3</v>
      </c>
      <c r="G2" s="4"/>
    </row>
    <row r="3" customFormat="false" ht="27.75" hidden="false" customHeight="true" outlineLevel="0" collapsed="false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</row>
    <row r="4" customFormat="false" ht="25.5" hidden="false" customHeight="true" outlineLevel="0" collapsed="false">
      <c r="A4" s="6" t="n">
        <v>1</v>
      </c>
      <c r="B4" s="6" t="s">
        <v>12</v>
      </c>
      <c r="C4" s="6" t="s">
        <v>13</v>
      </c>
      <c r="D4" s="7" t="s">
        <v>14</v>
      </c>
      <c r="E4" s="6" t="s">
        <v>15</v>
      </c>
      <c r="F4" s="6" t="s">
        <v>16</v>
      </c>
      <c r="G4" s="6" t="s">
        <v>17</v>
      </c>
      <c r="H4" s="6" t="s">
        <v>18</v>
      </c>
    </row>
    <row r="5" customFormat="false" ht="25.5" hidden="false" customHeight="true" outlineLevel="0" collapsed="false">
      <c r="A5" s="8" t="n">
        <v>2</v>
      </c>
      <c r="B5" s="8" t="s">
        <v>19</v>
      </c>
      <c r="C5" s="8" t="s">
        <v>20</v>
      </c>
      <c r="D5" s="9" t="s">
        <v>21</v>
      </c>
      <c r="E5" s="8" t="s">
        <v>22</v>
      </c>
      <c r="F5" s="8" t="s">
        <v>23</v>
      </c>
      <c r="G5" s="8" t="s">
        <v>24</v>
      </c>
      <c r="H5" s="8" t="s">
        <v>18</v>
      </c>
    </row>
    <row r="6" customFormat="false" ht="25.5" hidden="false" customHeight="true" outlineLevel="0" collapsed="false">
      <c r="A6" s="6" t="n">
        <v>3</v>
      </c>
      <c r="B6" s="6" t="s">
        <v>25</v>
      </c>
      <c r="C6" s="6" t="s">
        <v>26</v>
      </c>
      <c r="D6" s="7" t="s">
        <v>14</v>
      </c>
      <c r="E6" s="6" t="s">
        <v>27</v>
      </c>
      <c r="F6" s="6" t="s">
        <v>28</v>
      </c>
      <c r="G6" s="6" t="s">
        <v>29</v>
      </c>
      <c r="H6" s="6" t="s">
        <v>18</v>
      </c>
    </row>
    <row r="7" customFormat="false" ht="25.5" hidden="false" customHeight="true" outlineLevel="0" collapsed="false">
      <c r="A7" s="8" t="n">
        <v>4</v>
      </c>
      <c r="B7" s="8" t="s">
        <v>30</v>
      </c>
      <c r="C7" s="8" t="s">
        <v>31</v>
      </c>
      <c r="D7" s="9" t="s">
        <v>21</v>
      </c>
      <c r="E7" s="8" t="s">
        <v>32</v>
      </c>
      <c r="F7" s="8" t="s">
        <v>33</v>
      </c>
      <c r="G7" s="8" t="s">
        <v>34</v>
      </c>
      <c r="H7" s="8" t="s">
        <v>18</v>
      </c>
    </row>
    <row r="8" customFormat="false" ht="25.5" hidden="false" customHeight="true" outlineLevel="0" collapsed="false">
      <c r="A8" s="6" t="n">
        <v>5</v>
      </c>
      <c r="B8" s="6" t="s">
        <v>35</v>
      </c>
      <c r="C8" s="6" t="s">
        <v>36</v>
      </c>
      <c r="D8" s="10" t="s">
        <v>37</v>
      </c>
      <c r="E8" s="6" t="s">
        <v>38</v>
      </c>
      <c r="F8" s="6" t="s">
        <v>39</v>
      </c>
      <c r="G8" s="6" t="s">
        <v>40</v>
      </c>
      <c r="H8" s="6" t="s">
        <v>18</v>
      </c>
    </row>
    <row r="9" customFormat="false" ht="25.5" hidden="false" customHeight="true" outlineLevel="0" collapsed="false">
      <c r="A9" s="8" t="n">
        <v>6</v>
      </c>
      <c r="B9" s="8" t="s">
        <v>41</v>
      </c>
      <c r="C9" s="8" t="s">
        <v>42</v>
      </c>
      <c r="D9" s="10" t="s">
        <v>37</v>
      </c>
      <c r="E9" s="8" t="s">
        <v>42</v>
      </c>
      <c r="F9" s="8" t="s">
        <v>43</v>
      </c>
      <c r="G9" s="8" t="s">
        <v>44</v>
      </c>
      <c r="H9" s="8" t="s">
        <v>18</v>
      </c>
    </row>
    <row r="10" customFormat="false" ht="25.5" hidden="false" customHeight="true" outlineLevel="0" collapsed="false">
      <c r="A10" s="6" t="n">
        <v>7</v>
      </c>
      <c r="B10" s="6" t="s">
        <v>45</v>
      </c>
      <c r="C10" s="6" t="s">
        <v>46</v>
      </c>
      <c r="D10" s="10" t="s">
        <v>37</v>
      </c>
      <c r="E10" s="6" t="s">
        <v>47</v>
      </c>
      <c r="F10" s="6" t="s">
        <v>48</v>
      </c>
      <c r="G10" s="6" t="s">
        <v>49</v>
      </c>
      <c r="H10" s="6" t="s">
        <v>18</v>
      </c>
    </row>
    <row r="11" customFormat="false" ht="25.5" hidden="false" customHeight="true" outlineLevel="0" collapsed="false">
      <c r="A11" s="8" t="n">
        <v>8</v>
      </c>
      <c r="B11" s="8" t="s">
        <v>50</v>
      </c>
      <c r="C11" s="8" t="s">
        <v>51</v>
      </c>
      <c r="D11" s="7" t="s">
        <v>14</v>
      </c>
      <c r="E11" s="8" t="s">
        <v>52</v>
      </c>
      <c r="F11" s="8" t="s">
        <v>53</v>
      </c>
      <c r="G11" s="8" t="s">
        <v>54</v>
      </c>
      <c r="H11" s="8" t="s">
        <v>18</v>
      </c>
    </row>
    <row r="12" customFormat="false" ht="25.5" hidden="false" customHeight="true" outlineLevel="0" collapsed="false">
      <c r="A12" s="6" t="n">
        <v>9</v>
      </c>
      <c r="B12" s="6" t="s">
        <v>55</v>
      </c>
      <c r="C12" s="6" t="s">
        <v>56</v>
      </c>
      <c r="D12" s="9" t="s">
        <v>21</v>
      </c>
      <c r="E12" s="6" t="s">
        <v>56</v>
      </c>
      <c r="F12" s="6" t="s">
        <v>57</v>
      </c>
      <c r="G12" s="6" t="s">
        <v>58</v>
      </c>
      <c r="H12" s="6" t="s">
        <v>18</v>
      </c>
    </row>
    <row r="13" customFormat="false" ht="25.5" hidden="false" customHeight="true" outlineLevel="0" collapsed="false">
      <c r="A13" s="8" t="n">
        <v>10</v>
      </c>
      <c r="B13" s="8" t="s">
        <v>55</v>
      </c>
      <c r="C13" s="8" t="s">
        <v>59</v>
      </c>
      <c r="D13" s="9" t="s">
        <v>21</v>
      </c>
      <c r="E13" s="8" t="s">
        <v>59</v>
      </c>
      <c r="F13" s="8" t="s">
        <v>60</v>
      </c>
      <c r="G13" s="8" t="s">
        <v>61</v>
      </c>
      <c r="H13" s="8" t="s">
        <v>18</v>
      </c>
    </row>
    <row r="14" customFormat="false" ht="25.5" hidden="false" customHeight="true" outlineLevel="0" collapsed="false">
      <c r="A14" s="6" t="n">
        <v>11</v>
      </c>
      <c r="B14" s="6" t="s">
        <v>62</v>
      </c>
      <c r="C14" s="6" t="s">
        <v>63</v>
      </c>
      <c r="D14" s="7" t="s">
        <v>14</v>
      </c>
      <c r="E14" s="6" t="s">
        <v>64</v>
      </c>
      <c r="F14" s="6" t="s">
        <v>65</v>
      </c>
      <c r="G14" s="6" t="s">
        <v>66</v>
      </c>
      <c r="H14" s="6" t="s">
        <v>67</v>
      </c>
    </row>
    <row r="15" customFormat="false" ht="25.5" hidden="false" customHeight="true" outlineLevel="0" collapsed="false">
      <c r="A15" s="8" t="n">
        <v>12</v>
      </c>
      <c r="B15" s="8" t="s">
        <v>68</v>
      </c>
      <c r="C15" s="8" t="s">
        <v>69</v>
      </c>
      <c r="D15" s="9" t="s">
        <v>21</v>
      </c>
      <c r="E15" s="8" t="s">
        <v>70</v>
      </c>
      <c r="F15" s="8" t="s">
        <v>71</v>
      </c>
      <c r="G15" s="8" t="s">
        <v>72</v>
      </c>
      <c r="H15" s="8" t="s">
        <v>67</v>
      </c>
    </row>
    <row r="16" customFormat="false" ht="25.5" hidden="false" customHeight="true" outlineLevel="0" collapsed="false">
      <c r="A16" s="6" t="n">
        <v>13</v>
      </c>
      <c r="B16" s="6" t="s">
        <v>73</v>
      </c>
      <c r="C16" s="6" t="s">
        <v>74</v>
      </c>
      <c r="D16" s="7" t="s">
        <v>14</v>
      </c>
      <c r="E16" s="6" t="s">
        <v>75</v>
      </c>
      <c r="F16" s="6" t="s">
        <v>76</v>
      </c>
      <c r="G16" s="6" t="s">
        <v>77</v>
      </c>
      <c r="H16" s="6" t="s">
        <v>78</v>
      </c>
    </row>
    <row r="17" customFormat="false" ht="25.5" hidden="false" customHeight="true" outlineLevel="0" collapsed="false">
      <c r="A17" s="8" t="n">
        <v>14</v>
      </c>
      <c r="B17" s="8" t="s">
        <v>79</v>
      </c>
      <c r="C17" s="8" t="s">
        <v>80</v>
      </c>
      <c r="D17" s="7" t="s">
        <v>14</v>
      </c>
      <c r="E17" s="8" t="s">
        <v>81</v>
      </c>
      <c r="F17" s="8" t="s">
        <v>82</v>
      </c>
      <c r="G17" s="8" t="s">
        <v>83</v>
      </c>
      <c r="H17" s="8" t="s">
        <v>78</v>
      </c>
    </row>
    <row r="18" customFormat="false" ht="25.5" hidden="false" customHeight="true" outlineLevel="0" collapsed="false">
      <c r="A18" s="6" t="n">
        <v>15</v>
      </c>
      <c r="B18" s="6" t="s">
        <v>84</v>
      </c>
      <c r="C18" s="6" t="s">
        <v>85</v>
      </c>
      <c r="D18" s="7" t="s">
        <v>14</v>
      </c>
      <c r="E18" s="6" t="s">
        <v>86</v>
      </c>
      <c r="F18" s="6" t="s">
        <v>87</v>
      </c>
      <c r="G18" s="6" t="s">
        <v>88</v>
      </c>
      <c r="H18" s="6" t="s">
        <v>89</v>
      </c>
    </row>
    <row r="19" customFormat="false" ht="25.5" hidden="false" customHeight="true" outlineLevel="0" collapsed="false">
      <c r="A19" s="8" t="n">
        <v>16</v>
      </c>
      <c r="B19" s="8" t="s">
        <v>90</v>
      </c>
      <c r="C19" s="8" t="s">
        <v>91</v>
      </c>
      <c r="D19" s="10" t="s">
        <v>37</v>
      </c>
      <c r="E19" s="8" t="s">
        <v>92</v>
      </c>
      <c r="F19" s="8" t="s">
        <v>93</v>
      </c>
      <c r="G19" s="8" t="s">
        <v>94</v>
      </c>
      <c r="H19" s="8" t="s">
        <v>95</v>
      </c>
    </row>
    <row r="20" customFormat="false" ht="25.5" hidden="false" customHeight="true" outlineLevel="0" collapsed="false">
      <c r="A20" s="6" t="n">
        <v>17</v>
      </c>
      <c r="B20" s="6" t="s">
        <v>96</v>
      </c>
      <c r="C20" s="6" t="s">
        <v>97</v>
      </c>
      <c r="D20" s="9" t="s">
        <v>21</v>
      </c>
      <c r="E20" s="6" t="s">
        <v>98</v>
      </c>
      <c r="F20" s="6" t="s">
        <v>99</v>
      </c>
      <c r="G20" s="6" t="s">
        <v>100</v>
      </c>
      <c r="H20" s="6" t="s">
        <v>101</v>
      </c>
    </row>
    <row r="21" customFormat="false" ht="25.5" hidden="false" customHeight="true" outlineLevel="0" collapsed="false">
      <c r="A21" s="8" t="n">
        <v>18</v>
      </c>
      <c r="B21" s="8" t="s">
        <v>102</v>
      </c>
      <c r="C21" s="8" t="s">
        <v>103</v>
      </c>
      <c r="D21" s="10" t="s">
        <v>37</v>
      </c>
      <c r="E21" s="8" t="s">
        <v>104</v>
      </c>
      <c r="F21" s="8" t="s">
        <v>105</v>
      </c>
      <c r="G21" s="8" t="s">
        <v>106</v>
      </c>
      <c r="H21" s="8" t="s">
        <v>107</v>
      </c>
    </row>
    <row r="22" customFormat="false" ht="25.5" hidden="false" customHeight="true" outlineLevel="0" collapsed="false">
      <c r="A22" s="6" t="n">
        <v>19</v>
      </c>
      <c r="B22" s="6" t="s">
        <v>108</v>
      </c>
      <c r="C22" s="6" t="s">
        <v>109</v>
      </c>
      <c r="D22" s="9" t="s">
        <v>21</v>
      </c>
      <c r="E22" s="6" t="s">
        <v>109</v>
      </c>
      <c r="F22" s="6" t="s">
        <v>110</v>
      </c>
      <c r="G22" s="6" t="s">
        <v>111</v>
      </c>
      <c r="H22" s="6" t="s">
        <v>107</v>
      </c>
    </row>
    <row r="23" customFormat="false" ht="25.5" hidden="false" customHeight="true" outlineLevel="0" collapsed="false">
      <c r="A23" s="8" t="n">
        <v>20</v>
      </c>
      <c r="B23" s="8" t="s">
        <v>112</v>
      </c>
      <c r="C23" s="8" t="s">
        <v>113</v>
      </c>
      <c r="D23" s="9" t="s">
        <v>21</v>
      </c>
      <c r="E23" s="8" t="s">
        <v>114</v>
      </c>
      <c r="F23" s="8" t="s">
        <v>115</v>
      </c>
      <c r="G23" s="8" t="s">
        <v>116</v>
      </c>
      <c r="H23" s="8" t="s">
        <v>107</v>
      </c>
    </row>
    <row r="24" customFormat="false" ht="25.5" hidden="false" customHeight="true" outlineLevel="0" collapsed="false">
      <c r="A24" s="6" t="n">
        <v>21</v>
      </c>
      <c r="B24" s="6" t="s">
        <v>79</v>
      </c>
      <c r="C24" s="6" t="s">
        <v>117</v>
      </c>
      <c r="D24" s="10" t="s">
        <v>37</v>
      </c>
      <c r="E24" s="6" t="s">
        <v>118</v>
      </c>
      <c r="F24" s="6" t="s">
        <v>119</v>
      </c>
      <c r="G24" s="6" t="s">
        <v>120</v>
      </c>
      <c r="H24" s="6" t="s">
        <v>107</v>
      </c>
    </row>
    <row r="25" customFormat="false" ht="25.5" hidden="false" customHeight="true" outlineLevel="0" collapsed="false">
      <c r="A25" s="8" t="n">
        <v>22</v>
      </c>
      <c r="B25" s="8" t="s">
        <v>121</v>
      </c>
      <c r="C25" s="8" t="s">
        <v>122</v>
      </c>
      <c r="D25" s="7" t="s">
        <v>14</v>
      </c>
      <c r="E25" s="8" t="s">
        <v>123</v>
      </c>
      <c r="F25" s="8" t="s">
        <v>124</v>
      </c>
      <c r="G25" s="8" t="s">
        <v>125</v>
      </c>
      <c r="H25" s="8" t="s">
        <v>126</v>
      </c>
    </row>
    <row r="26" customFormat="false" ht="25.5" hidden="false" customHeight="true" outlineLevel="0" collapsed="false">
      <c r="A26" s="6" t="n">
        <v>23</v>
      </c>
      <c r="B26" s="6" t="s">
        <v>127</v>
      </c>
      <c r="C26" s="6" t="s">
        <v>128</v>
      </c>
      <c r="D26" s="10" t="s">
        <v>37</v>
      </c>
      <c r="E26" s="6" t="s">
        <v>128</v>
      </c>
      <c r="F26" s="6" t="s">
        <v>129</v>
      </c>
      <c r="G26" s="6" t="s">
        <v>130</v>
      </c>
      <c r="H26" s="6" t="s">
        <v>126</v>
      </c>
    </row>
    <row r="27" customFormat="false" ht="25.5" hidden="false" customHeight="true" outlineLevel="0" collapsed="false">
      <c r="A27" s="8" t="n">
        <v>24</v>
      </c>
      <c r="B27" s="8" t="s">
        <v>127</v>
      </c>
      <c r="C27" s="8" t="s">
        <v>131</v>
      </c>
      <c r="D27" s="7" t="s">
        <v>14</v>
      </c>
      <c r="E27" s="8" t="s">
        <v>132</v>
      </c>
      <c r="F27" s="8" t="s">
        <v>133</v>
      </c>
      <c r="G27" s="8" t="s">
        <v>134</v>
      </c>
      <c r="H27" s="8" t="s">
        <v>126</v>
      </c>
    </row>
    <row r="28" customFormat="false" ht="25.5" hidden="false" customHeight="true" outlineLevel="0" collapsed="false">
      <c r="A28" s="6" t="n">
        <v>25</v>
      </c>
      <c r="B28" s="6" t="s">
        <v>135</v>
      </c>
      <c r="C28" s="6" t="s">
        <v>136</v>
      </c>
      <c r="D28" s="9" t="s">
        <v>21</v>
      </c>
      <c r="E28" s="6" t="s">
        <v>137</v>
      </c>
      <c r="F28" s="6" t="s">
        <v>138</v>
      </c>
      <c r="G28" s="6" t="s">
        <v>139</v>
      </c>
      <c r="H28" s="6" t="s">
        <v>126</v>
      </c>
    </row>
    <row r="29" customFormat="false" ht="25.5" hidden="false" customHeight="true" outlineLevel="0" collapsed="false">
      <c r="A29" s="8" t="n">
        <v>26</v>
      </c>
      <c r="B29" s="8" t="s">
        <v>62</v>
      </c>
      <c r="C29" s="8" t="s">
        <v>140</v>
      </c>
      <c r="D29" s="10" t="s">
        <v>37</v>
      </c>
      <c r="E29" s="8" t="s">
        <v>141</v>
      </c>
      <c r="F29" s="8" t="s">
        <v>142</v>
      </c>
      <c r="G29" s="8" t="s">
        <v>143</v>
      </c>
      <c r="H29" s="8" t="s">
        <v>144</v>
      </c>
    </row>
    <row r="30" customFormat="false" ht="25.5" hidden="false" customHeight="true" outlineLevel="0" collapsed="false">
      <c r="A30" s="6" t="n">
        <v>27</v>
      </c>
      <c r="B30" s="6" t="s">
        <v>145</v>
      </c>
      <c r="C30" s="6" t="s">
        <v>146</v>
      </c>
      <c r="D30" s="9" t="s">
        <v>21</v>
      </c>
      <c r="E30" s="6" t="s">
        <v>147</v>
      </c>
      <c r="F30" s="6" t="s">
        <v>148</v>
      </c>
      <c r="G30" s="6" t="s">
        <v>149</v>
      </c>
      <c r="H30" s="6" t="s">
        <v>144</v>
      </c>
    </row>
    <row r="31" customFormat="false" ht="25.5" hidden="false" customHeight="true" outlineLevel="0" collapsed="false">
      <c r="A31" s="8" t="n">
        <v>28</v>
      </c>
      <c r="B31" s="8" t="s">
        <v>150</v>
      </c>
      <c r="C31" s="8" t="s">
        <v>151</v>
      </c>
      <c r="D31" s="7" t="s">
        <v>14</v>
      </c>
      <c r="E31" s="8" t="s">
        <v>152</v>
      </c>
      <c r="F31" s="8" t="s">
        <v>153</v>
      </c>
      <c r="G31" s="8" t="s">
        <v>154</v>
      </c>
      <c r="H31" s="8" t="s">
        <v>144</v>
      </c>
    </row>
    <row r="32" customFormat="false" ht="25.5" hidden="false" customHeight="true" outlineLevel="0" collapsed="false">
      <c r="A32" s="6" t="n">
        <v>29</v>
      </c>
      <c r="B32" s="6" t="s">
        <v>155</v>
      </c>
      <c r="C32" s="6" t="s">
        <v>156</v>
      </c>
      <c r="D32" s="10" t="s">
        <v>37</v>
      </c>
      <c r="E32" s="6" t="s">
        <v>156</v>
      </c>
      <c r="F32" s="6" t="s">
        <v>157</v>
      </c>
      <c r="G32" s="6" t="s">
        <v>158</v>
      </c>
      <c r="H32" s="6" t="s">
        <v>159</v>
      </c>
    </row>
    <row r="33" customFormat="false" ht="25.5" hidden="false" customHeight="true" outlineLevel="0" collapsed="false">
      <c r="A33" s="8" t="n">
        <v>30</v>
      </c>
      <c r="B33" s="8" t="s">
        <v>155</v>
      </c>
      <c r="C33" s="8" t="s">
        <v>160</v>
      </c>
      <c r="D33" s="7" t="s">
        <v>14</v>
      </c>
      <c r="E33" s="8" t="s">
        <v>161</v>
      </c>
      <c r="F33" s="8" t="s">
        <v>162</v>
      </c>
      <c r="G33" s="8" t="s">
        <v>163</v>
      </c>
      <c r="H33" s="8" t="s">
        <v>159</v>
      </c>
    </row>
    <row r="34" customFormat="false" ht="25.5" hidden="false" customHeight="true" outlineLevel="0" collapsed="false">
      <c r="A34" s="6" t="n">
        <v>31</v>
      </c>
      <c r="B34" s="6" t="s">
        <v>108</v>
      </c>
      <c r="C34" s="6" t="s">
        <v>164</v>
      </c>
      <c r="D34" s="10" t="s">
        <v>37</v>
      </c>
      <c r="E34" s="6" t="s">
        <v>165</v>
      </c>
      <c r="F34" s="6" t="s">
        <v>166</v>
      </c>
      <c r="G34" s="6" t="s">
        <v>167</v>
      </c>
      <c r="H34" s="6" t="s">
        <v>168</v>
      </c>
    </row>
    <row r="35" customFormat="false" ht="25.5" hidden="false" customHeight="true" outlineLevel="0" collapsed="false">
      <c r="A35" s="8" t="n">
        <v>32</v>
      </c>
      <c r="B35" s="8" t="s">
        <v>169</v>
      </c>
      <c r="C35" s="8" t="s">
        <v>170</v>
      </c>
      <c r="D35" s="7" t="s">
        <v>14</v>
      </c>
      <c r="E35" s="8" t="s">
        <v>171</v>
      </c>
      <c r="F35" s="8" t="s">
        <v>172</v>
      </c>
      <c r="G35" s="8" t="s">
        <v>173</v>
      </c>
      <c r="H35" s="8" t="s">
        <v>174</v>
      </c>
    </row>
    <row r="36" customFormat="false" ht="25.5" hidden="false" customHeight="true" outlineLevel="0" collapsed="false">
      <c r="A36" s="6" t="n">
        <v>33</v>
      </c>
      <c r="B36" s="6" t="s">
        <v>175</v>
      </c>
      <c r="C36" s="6" t="s">
        <v>176</v>
      </c>
      <c r="D36" s="7" t="s">
        <v>14</v>
      </c>
      <c r="E36" s="6" t="s">
        <v>177</v>
      </c>
      <c r="F36" s="6" t="s">
        <v>178</v>
      </c>
      <c r="G36" s="6" t="s">
        <v>179</v>
      </c>
      <c r="H36" s="6" t="s">
        <v>180</v>
      </c>
    </row>
    <row r="37" customFormat="false" ht="25.5" hidden="false" customHeight="true" outlineLevel="0" collapsed="false">
      <c r="A37" s="8" t="n">
        <v>34</v>
      </c>
      <c r="B37" s="8" t="s">
        <v>181</v>
      </c>
      <c r="C37" s="8" t="s">
        <v>182</v>
      </c>
      <c r="D37" s="9" t="s">
        <v>21</v>
      </c>
      <c r="E37" s="8" t="s">
        <v>183</v>
      </c>
      <c r="F37" s="8" t="s">
        <v>184</v>
      </c>
      <c r="G37" s="8" t="s">
        <v>185</v>
      </c>
      <c r="H37" s="8" t="s">
        <v>186</v>
      </c>
    </row>
    <row r="38" customFormat="false" ht="25.5" hidden="false" customHeight="true" outlineLevel="0" collapsed="false">
      <c r="A38" s="6" t="n">
        <v>35</v>
      </c>
      <c r="B38" s="6" t="s">
        <v>187</v>
      </c>
      <c r="C38" s="6" t="s">
        <v>188</v>
      </c>
      <c r="D38" s="7" t="s">
        <v>14</v>
      </c>
      <c r="E38" s="6" t="s">
        <v>189</v>
      </c>
      <c r="F38" s="6" t="s">
        <v>190</v>
      </c>
      <c r="G38" s="6" t="s">
        <v>191</v>
      </c>
      <c r="H38" s="6" t="s">
        <v>192</v>
      </c>
    </row>
    <row r="39" customFormat="false" ht="25.5" hidden="false" customHeight="true" outlineLevel="0" collapsed="false">
      <c r="A39" s="8" t="n">
        <v>36</v>
      </c>
      <c r="B39" s="8" t="s">
        <v>193</v>
      </c>
      <c r="C39" s="8" t="s">
        <v>194</v>
      </c>
      <c r="D39" s="9" t="s">
        <v>21</v>
      </c>
      <c r="E39" s="8" t="s">
        <v>195</v>
      </c>
      <c r="F39" s="8" t="s">
        <v>196</v>
      </c>
      <c r="G39" s="8" t="s">
        <v>197</v>
      </c>
      <c r="H39" s="8" t="s">
        <v>192</v>
      </c>
    </row>
    <row r="40" customFormat="false" ht="25.5" hidden="false" customHeight="true" outlineLevel="0" collapsed="false">
      <c r="A40" s="6" t="n">
        <v>37</v>
      </c>
      <c r="B40" s="6" t="s">
        <v>198</v>
      </c>
      <c r="C40" s="6" t="s">
        <v>199</v>
      </c>
      <c r="D40" s="10" t="s">
        <v>37</v>
      </c>
      <c r="E40" s="6" t="s">
        <v>200</v>
      </c>
      <c r="F40" s="6" t="s">
        <v>201</v>
      </c>
      <c r="G40" s="6" t="s">
        <v>202</v>
      </c>
      <c r="H40" s="6" t="s">
        <v>192</v>
      </c>
    </row>
    <row r="41" customFormat="false" ht="25.5" hidden="false" customHeight="true" outlineLevel="0" collapsed="false">
      <c r="A41" s="8" t="n">
        <v>38</v>
      </c>
      <c r="B41" s="8" t="s">
        <v>203</v>
      </c>
      <c r="C41" s="8" t="s">
        <v>204</v>
      </c>
      <c r="D41" s="10" t="s">
        <v>37</v>
      </c>
      <c r="E41" s="8" t="s">
        <v>205</v>
      </c>
      <c r="F41" s="8" t="s">
        <v>206</v>
      </c>
      <c r="G41" s="8" t="s">
        <v>207</v>
      </c>
      <c r="H41" s="8" t="s">
        <v>192</v>
      </c>
    </row>
    <row r="42" customFormat="false" ht="25.5" hidden="false" customHeight="true" outlineLevel="0" collapsed="false">
      <c r="A42" s="6" t="n">
        <v>39</v>
      </c>
      <c r="B42" s="6" t="s">
        <v>208</v>
      </c>
      <c r="C42" s="6" t="s">
        <v>209</v>
      </c>
      <c r="D42" s="10" t="s">
        <v>37</v>
      </c>
      <c r="E42" s="6" t="s">
        <v>210</v>
      </c>
      <c r="F42" s="6" t="s">
        <v>211</v>
      </c>
      <c r="G42" s="6" t="s">
        <v>212</v>
      </c>
      <c r="H42" s="6" t="s">
        <v>213</v>
      </c>
    </row>
    <row r="43" customFormat="false" ht="25.5" hidden="false" customHeight="true" outlineLevel="0" collapsed="false">
      <c r="A43" s="8" t="n">
        <v>40</v>
      </c>
      <c r="B43" s="8" t="s">
        <v>214</v>
      </c>
      <c r="C43" s="8" t="s">
        <v>215</v>
      </c>
      <c r="D43" s="7" t="s">
        <v>14</v>
      </c>
      <c r="E43" s="8" t="s">
        <v>216</v>
      </c>
      <c r="F43" s="8" t="s">
        <v>217</v>
      </c>
      <c r="G43" s="8" t="s">
        <v>218</v>
      </c>
      <c r="H43" s="8" t="s">
        <v>168</v>
      </c>
    </row>
    <row r="44" customFormat="false" ht="25.5" hidden="false" customHeight="true" outlineLevel="0" collapsed="false">
      <c r="A44" s="6" t="n">
        <v>41</v>
      </c>
      <c r="B44" s="6" t="s">
        <v>219</v>
      </c>
      <c r="C44" s="6" t="s">
        <v>220</v>
      </c>
      <c r="D44" s="9" t="s">
        <v>21</v>
      </c>
      <c r="E44" s="6" t="s">
        <v>221</v>
      </c>
      <c r="F44" s="6" t="s">
        <v>222</v>
      </c>
      <c r="G44" s="6" t="s">
        <v>223</v>
      </c>
      <c r="H44" s="6" t="s">
        <v>224</v>
      </c>
    </row>
    <row r="45" customFormat="false" ht="25.5" hidden="false" customHeight="true" outlineLevel="0" collapsed="false">
      <c r="A45" s="8" t="n">
        <v>42</v>
      </c>
      <c r="B45" s="8" t="s">
        <v>225</v>
      </c>
      <c r="C45" s="8" t="s">
        <v>226</v>
      </c>
      <c r="D45" s="7" t="s">
        <v>14</v>
      </c>
      <c r="E45" s="8" t="s">
        <v>227</v>
      </c>
      <c r="F45" s="8" t="s">
        <v>228</v>
      </c>
      <c r="G45" s="8" t="s">
        <v>229</v>
      </c>
      <c r="H45" s="8" t="s">
        <v>224</v>
      </c>
    </row>
    <row r="46" customFormat="false" ht="25.5" hidden="false" customHeight="true" outlineLevel="0" collapsed="false">
      <c r="A46" s="6" t="n">
        <v>43</v>
      </c>
      <c r="B46" s="6" t="s">
        <v>230</v>
      </c>
      <c r="C46" s="6" t="s">
        <v>231</v>
      </c>
      <c r="D46" s="7" t="s">
        <v>14</v>
      </c>
      <c r="E46" s="6" t="s">
        <v>232</v>
      </c>
      <c r="F46" s="6" t="s">
        <v>233</v>
      </c>
      <c r="G46" s="6" t="s">
        <v>234</v>
      </c>
      <c r="H46" s="6" t="s">
        <v>235</v>
      </c>
    </row>
    <row r="47" customFormat="false" ht="25.5" hidden="false" customHeight="true" outlineLevel="0" collapsed="false">
      <c r="A47" s="8" t="n">
        <v>44</v>
      </c>
      <c r="B47" s="8" t="s">
        <v>236</v>
      </c>
      <c r="C47" s="8" t="s">
        <v>237</v>
      </c>
      <c r="D47" s="10" t="s">
        <v>37</v>
      </c>
      <c r="E47" s="8" t="s">
        <v>238</v>
      </c>
      <c r="F47" s="8" t="s">
        <v>239</v>
      </c>
      <c r="G47" s="8" t="s">
        <v>240</v>
      </c>
      <c r="H47" s="8" t="s">
        <v>235</v>
      </c>
    </row>
    <row r="48" customFormat="false" ht="25.5" hidden="false" customHeight="true" outlineLevel="0" collapsed="false">
      <c r="A48" s="6" t="n">
        <v>45</v>
      </c>
      <c r="B48" s="6" t="s">
        <v>241</v>
      </c>
      <c r="C48" s="6" t="s">
        <v>242</v>
      </c>
      <c r="D48" s="7" t="s">
        <v>14</v>
      </c>
      <c r="E48" s="6" t="s">
        <v>243</v>
      </c>
      <c r="F48" s="6" t="s">
        <v>244</v>
      </c>
      <c r="G48" s="6" t="s">
        <v>245</v>
      </c>
      <c r="H48" s="6" t="s">
        <v>246</v>
      </c>
    </row>
    <row r="49" customFormat="false" ht="25.5" hidden="false" customHeight="true" outlineLevel="0" collapsed="false">
      <c r="A49" s="8" t="n">
        <v>46</v>
      </c>
      <c r="B49" s="8" t="s">
        <v>62</v>
      </c>
      <c r="C49" s="8" t="s">
        <v>247</v>
      </c>
      <c r="D49" s="9" t="s">
        <v>21</v>
      </c>
      <c r="E49" s="8" t="s">
        <v>247</v>
      </c>
      <c r="F49" s="8" t="s">
        <v>248</v>
      </c>
      <c r="G49" s="8" t="s">
        <v>249</v>
      </c>
      <c r="H49" s="8" t="s">
        <v>246</v>
      </c>
    </row>
    <row r="50" customFormat="false" ht="25.5" hidden="false" customHeight="true" outlineLevel="0" collapsed="false">
      <c r="A50" s="6" t="n">
        <v>47</v>
      </c>
      <c r="B50" s="6" t="s">
        <v>250</v>
      </c>
      <c r="C50" s="6" t="s">
        <v>251</v>
      </c>
      <c r="D50" s="9" t="s">
        <v>21</v>
      </c>
      <c r="E50" s="6" t="s">
        <v>252</v>
      </c>
      <c r="F50" s="6" t="s">
        <v>253</v>
      </c>
      <c r="G50" s="6" t="s">
        <v>254</v>
      </c>
      <c r="H50" s="6" t="s">
        <v>246</v>
      </c>
    </row>
    <row r="51" customFormat="false" ht="25.5" hidden="false" customHeight="true" outlineLevel="0" collapsed="false">
      <c r="A51" s="8" t="n">
        <v>48</v>
      </c>
      <c r="B51" s="8" t="s">
        <v>150</v>
      </c>
      <c r="C51" s="8" t="s">
        <v>255</v>
      </c>
      <c r="D51" s="9" t="s">
        <v>21</v>
      </c>
      <c r="E51" s="8" t="s">
        <v>256</v>
      </c>
      <c r="F51" s="8" t="s">
        <v>257</v>
      </c>
      <c r="G51" s="8" t="s">
        <v>258</v>
      </c>
      <c r="H51" s="8" t="s">
        <v>246</v>
      </c>
    </row>
  </sheetData>
  <mergeCells count="4">
    <mergeCell ref="A1:H1"/>
    <mergeCell ref="B2:C2"/>
    <mergeCell ref="D2:E2"/>
    <mergeCell ref="F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394"/>
    <pageSetUpPr fitToPage="false"/>
  </sheetPr>
  <dimension ref="A1:F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35"/>
  </cols>
  <sheetData>
    <row r="1" customFormat="false" ht="42" hidden="false" customHeight="true" outlineLevel="0" collapsed="false">
      <c r="A1" s="11" t="s">
        <v>259</v>
      </c>
      <c r="B1" s="11"/>
      <c r="C1" s="11"/>
      <c r="D1" s="11"/>
      <c r="E1" s="11"/>
      <c r="F1" s="11"/>
    </row>
    <row r="2" customFormat="false" ht="21.75" hidden="false" customHeight="true" outlineLevel="0" collapsed="false">
      <c r="A2" s="12" t="s">
        <v>260</v>
      </c>
      <c r="B2" s="13" t="s">
        <v>261</v>
      </c>
      <c r="C2" s="14" t="s">
        <v>262</v>
      </c>
      <c r="D2" s="15" t="s">
        <v>113</v>
      </c>
      <c r="E2" s="16" t="s">
        <v>263</v>
      </c>
      <c r="F2" s="17" t="s">
        <v>264</v>
      </c>
    </row>
    <row r="3" customFormat="false" ht="25.5" hidden="false" customHeight="true" outlineLevel="0" collapsed="false">
      <c r="A3" s="18" t="s">
        <v>4</v>
      </c>
      <c r="B3" s="18" t="s">
        <v>5</v>
      </c>
      <c r="C3" s="18" t="s">
        <v>265</v>
      </c>
      <c r="D3" s="18" t="s">
        <v>266</v>
      </c>
      <c r="E3" s="18" t="s">
        <v>9</v>
      </c>
      <c r="F3" s="18" t="s">
        <v>267</v>
      </c>
    </row>
    <row r="4" customFormat="false" ht="21.75" hidden="false" customHeight="true" outlineLevel="0" collapsed="false">
      <c r="A4" s="6" t="n">
        <v>1</v>
      </c>
      <c r="B4" s="6" t="s">
        <v>12</v>
      </c>
      <c r="C4" s="19" t="s">
        <v>13</v>
      </c>
      <c r="D4" s="20" t="s">
        <v>268</v>
      </c>
      <c r="E4" s="6" t="s">
        <v>16</v>
      </c>
      <c r="F4" s="6" t="s">
        <v>269</v>
      </c>
    </row>
    <row r="5" customFormat="false" ht="21.75" hidden="false" customHeight="true" outlineLevel="0" collapsed="false">
      <c r="A5" s="21" t="n">
        <v>2</v>
      </c>
      <c r="B5" s="21" t="s">
        <v>19</v>
      </c>
      <c r="C5" s="22" t="s">
        <v>20</v>
      </c>
      <c r="D5" s="23" t="s">
        <v>270</v>
      </c>
      <c r="E5" s="21" t="s">
        <v>23</v>
      </c>
      <c r="F5" s="21" t="s">
        <v>271</v>
      </c>
    </row>
    <row r="6" customFormat="false" ht="21.75" hidden="false" customHeight="true" outlineLevel="0" collapsed="false">
      <c r="A6" s="6" t="n">
        <v>3</v>
      </c>
      <c r="B6" s="6" t="s">
        <v>25</v>
      </c>
      <c r="C6" s="19" t="s">
        <v>26</v>
      </c>
      <c r="D6" s="20" t="s">
        <v>268</v>
      </c>
      <c r="E6" s="6" t="s">
        <v>28</v>
      </c>
      <c r="F6" s="6" t="s">
        <v>272</v>
      </c>
    </row>
    <row r="7" customFormat="false" ht="21.75" hidden="false" customHeight="true" outlineLevel="0" collapsed="false">
      <c r="A7" s="21" t="n">
        <v>4</v>
      </c>
      <c r="B7" s="21" t="s">
        <v>30</v>
      </c>
      <c r="C7" s="22" t="s">
        <v>31</v>
      </c>
      <c r="D7" s="23" t="s">
        <v>270</v>
      </c>
      <c r="E7" s="21" t="s">
        <v>33</v>
      </c>
      <c r="F7" s="21" t="s">
        <v>273</v>
      </c>
    </row>
    <row r="8" customFormat="false" ht="21.75" hidden="false" customHeight="true" outlineLevel="0" collapsed="false">
      <c r="A8" s="6" t="n">
        <v>5</v>
      </c>
      <c r="B8" s="6" t="s">
        <v>35</v>
      </c>
      <c r="C8" s="19" t="s">
        <v>36</v>
      </c>
      <c r="D8" s="24" t="s">
        <v>274</v>
      </c>
      <c r="E8" s="6" t="s">
        <v>39</v>
      </c>
      <c r="F8" s="6" t="s">
        <v>275</v>
      </c>
    </row>
    <row r="9" customFormat="false" ht="21.75" hidden="false" customHeight="true" outlineLevel="0" collapsed="false">
      <c r="A9" s="21" t="n">
        <v>6</v>
      </c>
      <c r="B9" s="21" t="s">
        <v>41</v>
      </c>
      <c r="C9" s="22" t="s">
        <v>42</v>
      </c>
      <c r="D9" s="24" t="s">
        <v>274</v>
      </c>
      <c r="E9" s="21" t="s">
        <v>43</v>
      </c>
      <c r="F9" s="21" t="s">
        <v>276</v>
      </c>
    </row>
    <row r="10" customFormat="false" ht="21.75" hidden="false" customHeight="true" outlineLevel="0" collapsed="false">
      <c r="A10" s="6" t="n">
        <v>7</v>
      </c>
      <c r="B10" s="6" t="s">
        <v>45</v>
      </c>
      <c r="C10" s="19" t="s">
        <v>46</v>
      </c>
      <c r="D10" s="24" t="s">
        <v>274</v>
      </c>
      <c r="E10" s="6" t="s">
        <v>48</v>
      </c>
      <c r="F10" s="6" t="s">
        <v>277</v>
      </c>
    </row>
    <row r="11" customFormat="false" ht="21.75" hidden="false" customHeight="true" outlineLevel="0" collapsed="false">
      <c r="A11" s="21" t="n">
        <v>8</v>
      </c>
      <c r="B11" s="21" t="s">
        <v>50</v>
      </c>
      <c r="C11" s="22" t="s">
        <v>51</v>
      </c>
      <c r="D11" s="20" t="s">
        <v>268</v>
      </c>
      <c r="E11" s="21" t="s">
        <v>53</v>
      </c>
      <c r="F11" s="21" t="s">
        <v>278</v>
      </c>
    </row>
    <row r="12" customFormat="false" ht="21.75" hidden="false" customHeight="true" outlineLevel="0" collapsed="false">
      <c r="A12" s="6" t="n">
        <v>9</v>
      </c>
      <c r="B12" s="6" t="s">
        <v>55</v>
      </c>
      <c r="C12" s="19" t="s">
        <v>56</v>
      </c>
      <c r="D12" s="23" t="s">
        <v>270</v>
      </c>
      <c r="E12" s="6" t="s">
        <v>57</v>
      </c>
      <c r="F12" s="6" t="s">
        <v>279</v>
      </c>
    </row>
    <row r="13" customFormat="false" ht="21.75" hidden="false" customHeight="true" outlineLevel="0" collapsed="false">
      <c r="A13" s="21" t="n">
        <v>10</v>
      </c>
      <c r="B13" s="21" t="s">
        <v>55</v>
      </c>
      <c r="C13" s="22" t="s">
        <v>59</v>
      </c>
      <c r="D13" s="23" t="s">
        <v>270</v>
      </c>
      <c r="E13" s="21" t="s">
        <v>60</v>
      </c>
      <c r="F13" s="21" t="s">
        <v>280</v>
      </c>
    </row>
    <row r="14" customFormat="false" ht="21.75" hidden="false" customHeight="true" outlineLevel="0" collapsed="false">
      <c r="A14" s="6" t="n">
        <v>11</v>
      </c>
      <c r="B14" s="6" t="s">
        <v>62</v>
      </c>
      <c r="C14" s="19" t="s">
        <v>63</v>
      </c>
      <c r="D14" s="20" t="s">
        <v>268</v>
      </c>
      <c r="E14" s="6" t="s">
        <v>65</v>
      </c>
      <c r="F14" s="6" t="s">
        <v>281</v>
      </c>
    </row>
    <row r="15" customFormat="false" ht="21.75" hidden="false" customHeight="true" outlineLevel="0" collapsed="false">
      <c r="A15" s="21" t="n">
        <v>12</v>
      </c>
      <c r="B15" s="21" t="s">
        <v>68</v>
      </c>
      <c r="C15" s="22" t="s">
        <v>69</v>
      </c>
      <c r="D15" s="23" t="s">
        <v>270</v>
      </c>
      <c r="E15" s="21" t="s">
        <v>71</v>
      </c>
      <c r="F15" s="21" t="s">
        <v>282</v>
      </c>
    </row>
    <row r="16" customFormat="false" ht="21.75" hidden="false" customHeight="true" outlineLevel="0" collapsed="false">
      <c r="A16" s="6" t="n">
        <v>13</v>
      </c>
      <c r="B16" s="6" t="s">
        <v>73</v>
      </c>
      <c r="C16" s="19" t="s">
        <v>74</v>
      </c>
      <c r="D16" s="20" t="s">
        <v>268</v>
      </c>
      <c r="E16" s="6" t="s">
        <v>76</v>
      </c>
      <c r="F16" s="6" t="s">
        <v>283</v>
      </c>
    </row>
    <row r="17" customFormat="false" ht="21.75" hidden="false" customHeight="true" outlineLevel="0" collapsed="false">
      <c r="A17" s="21" t="n">
        <v>14</v>
      </c>
      <c r="B17" s="21" t="s">
        <v>79</v>
      </c>
      <c r="C17" s="22" t="s">
        <v>80</v>
      </c>
      <c r="D17" s="20" t="s">
        <v>268</v>
      </c>
      <c r="E17" s="21" t="s">
        <v>82</v>
      </c>
      <c r="F17" s="21" t="s">
        <v>284</v>
      </c>
    </row>
    <row r="18" customFormat="false" ht="21.75" hidden="false" customHeight="true" outlineLevel="0" collapsed="false">
      <c r="A18" s="6" t="n">
        <v>15</v>
      </c>
      <c r="B18" s="6" t="s">
        <v>84</v>
      </c>
      <c r="C18" s="19" t="s">
        <v>85</v>
      </c>
      <c r="D18" s="20" t="s">
        <v>268</v>
      </c>
      <c r="E18" s="6" t="s">
        <v>87</v>
      </c>
      <c r="F18" s="6" t="s">
        <v>285</v>
      </c>
    </row>
    <row r="19" customFormat="false" ht="21.75" hidden="false" customHeight="true" outlineLevel="0" collapsed="false">
      <c r="A19" s="21" t="n">
        <v>16</v>
      </c>
      <c r="B19" s="21" t="s">
        <v>90</v>
      </c>
      <c r="C19" s="22" t="s">
        <v>91</v>
      </c>
      <c r="D19" s="24" t="s">
        <v>274</v>
      </c>
      <c r="E19" s="21" t="s">
        <v>93</v>
      </c>
      <c r="F19" s="21" t="s">
        <v>286</v>
      </c>
    </row>
    <row r="20" customFormat="false" ht="21.75" hidden="false" customHeight="true" outlineLevel="0" collapsed="false">
      <c r="A20" s="6" t="n">
        <v>17</v>
      </c>
      <c r="B20" s="6" t="s">
        <v>96</v>
      </c>
      <c r="C20" s="19" t="s">
        <v>97</v>
      </c>
      <c r="D20" s="23" t="s">
        <v>270</v>
      </c>
      <c r="E20" s="6" t="s">
        <v>99</v>
      </c>
      <c r="F20" s="6" t="s">
        <v>287</v>
      </c>
    </row>
    <row r="21" customFormat="false" ht="21.75" hidden="false" customHeight="true" outlineLevel="0" collapsed="false">
      <c r="A21" s="21" t="n">
        <v>18</v>
      </c>
      <c r="B21" s="21" t="s">
        <v>102</v>
      </c>
      <c r="C21" s="22" t="s">
        <v>103</v>
      </c>
      <c r="D21" s="24" t="s">
        <v>274</v>
      </c>
      <c r="E21" s="21" t="s">
        <v>105</v>
      </c>
      <c r="F21" s="21" t="s">
        <v>288</v>
      </c>
    </row>
    <row r="22" customFormat="false" ht="21.75" hidden="false" customHeight="true" outlineLevel="0" collapsed="false">
      <c r="A22" s="6" t="n">
        <v>19</v>
      </c>
      <c r="B22" s="6" t="s">
        <v>108</v>
      </c>
      <c r="C22" s="19" t="s">
        <v>109</v>
      </c>
      <c r="D22" s="23" t="s">
        <v>270</v>
      </c>
      <c r="E22" s="6" t="s">
        <v>110</v>
      </c>
      <c r="F22" s="6" t="s">
        <v>289</v>
      </c>
    </row>
    <row r="23" customFormat="false" ht="21.75" hidden="false" customHeight="true" outlineLevel="0" collapsed="false">
      <c r="A23" s="21" t="n">
        <v>20</v>
      </c>
      <c r="B23" s="21" t="s">
        <v>112</v>
      </c>
      <c r="C23" s="22" t="s">
        <v>113</v>
      </c>
      <c r="D23" s="23" t="s">
        <v>270</v>
      </c>
      <c r="E23" s="21" t="s">
        <v>115</v>
      </c>
      <c r="F23" s="21" t="s">
        <v>290</v>
      </c>
    </row>
    <row r="24" customFormat="false" ht="21.75" hidden="false" customHeight="true" outlineLevel="0" collapsed="false">
      <c r="A24" s="6" t="n">
        <v>21</v>
      </c>
      <c r="B24" s="6" t="s">
        <v>79</v>
      </c>
      <c r="C24" s="19" t="s">
        <v>117</v>
      </c>
      <c r="D24" s="24" t="s">
        <v>274</v>
      </c>
      <c r="E24" s="6" t="s">
        <v>119</v>
      </c>
      <c r="F24" s="6" t="s">
        <v>291</v>
      </c>
    </row>
    <row r="25" customFormat="false" ht="21.75" hidden="false" customHeight="true" outlineLevel="0" collapsed="false">
      <c r="A25" s="21" t="n">
        <v>22</v>
      </c>
      <c r="B25" s="21" t="s">
        <v>121</v>
      </c>
      <c r="C25" s="22" t="s">
        <v>122</v>
      </c>
      <c r="D25" s="20" t="s">
        <v>268</v>
      </c>
      <c r="E25" s="21" t="s">
        <v>124</v>
      </c>
      <c r="F25" s="21" t="s">
        <v>292</v>
      </c>
    </row>
    <row r="26" customFormat="false" ht="21.75" hidden="false" customHeight="true" outlineLevel="0" collapsed="false">
      <c r="A26" s="6" t="n">
        <v>23</v>
      </c>
      <c r="B26" s="6" t="s">
        <v>127</v>
      </c>
      <c r="C26" s="19" t="s">
        <v>128</v>
      </c>
      <c r="D26" s="24" t="s">
        <v>274</v>
      </c>
      <c r="E26" s="6" t="s">
        <v>129</v>
      </c>
      <c r="F26" s="6" t="s">
        <v>293</v>
      </c>
    </row>
    <row r="27" customFormat="false" ht="21.75" hidden="false" customHeight="true" outlineLevel="0" collapsed="false">
      <c r="A27" s="21" t="n">
        <v>24</v>
      </c>
      <c r="B27" s="21" t="s">
        <v>127</v>
      </c>
      <c r="C27" s="22" t="s">
        <v>131</v>
      </c>
      <c r="D27" s="20" t="s">
        <v>268</v>
      </c>
      <c r="E27" s="21" t="s">
        <v>133</v>
      </c>
      <c r="F27" s="21" t="s">
        <v>294</v>
      </c>
    </row>
    <row r="28" customFormat="false" ht="21.75" hidden="false" customHeight="true" outlineLevel="0" collapsed="false">
      <c r="A28" s="6" t="n">
        <v>25</v>
      </c>
      <c r="B28" s="6" t="s">
        <v>135</v>
      </c>
      <c r="C28" s="19" t="s">
        <v>136</v>
      </c>
      <c r="D28" s="23" t="s">
        <v>270</v>
      </c>
      <c r="E28" s="6" t="s">
        <v>138</v>
      </c>
      <c r="F28" s="6" t="s">
        <v>295</v>
      </c>
    </row>
    <row r="29" customFormat="false" ht="21.75" hidden="false" customHeight="true" outlineLevel="0" collapsed="false">
      <c r="A29" s="21" t="n">
        <v>26</v>
      </c>
      <c r="B29" s="21" t="s">
        <v>62</v>
      </c>
      <c r="C29" s="22" t="s">
        <v>140</v>
      </c>
      <c r="D29" s="24" t="s">
        <v>274</v>
      </c>
      <c r="E29" s="21" t="s">
        <v>142</v>
      </c>
      <c r="F29" s="21" t="s">
        <v>296</v>
      </c>
    </row>
    <row r="30" customFormat="false" ht="21.75" hidden="false" customHeight="true" outlineLevel="0" collapsed="false">
      <c r="A30" s="6" t="n">
        <v>27</v>
      </c>
      <c r="B30" s="6" t="s">
        <v>145</v>
      </c>
      <c r="C30" s="19" t="s">
        <v>146</v>
      </c>
      <c r="D30" s="23" t="s">
        <v>270</v>
      </c>
      <c r="E30" s="6" t="s">
        <v>148</v>
      </c>
      <c r="F30" s="6" t="s">
        <v>297</v>
      </c>
    </row>
    <row r="31" customFormat="false" ht="21.75" hidden="false" customHeight="true" outlineLevel="0" collapsed="false">
      <c r="A31" s="21" t="n">
        <v>28</v>
      </c>
      <c r="B31" s="21" t="s">
        <v>150</v>
      </c>
      <c r="C31" s="22" t="s">
        <v>151</v>
      </c>
      <c r="D31" s="20" t="s">
        <v>268</v>
      </c>
      <c r="E31" s="21" t="s">
        <v>153</v>
      </c>
      <c r="F31" s="21" t="s">
        <v>298</v>
      </c>
    </row>
    <row r="32" customFormat="false" ht="21.75" hidden="false" customHeight="true" outlineLevel="0" collapsed="false">
      <c r="A32" s="6" t="n">
        <v>29</v>
      </c>
      <c r="B32" s="6" t="s">
        <v>155</v>
      </c>
      <c r="C32" s="19" t="s">
        <v>156</v>
      </c>
      <c r="D32" s="24" t="s">
        <v>274</v>
      </c>
      <c r="E32" s="6" t="s">
        <v>157</v>
      </c>
      <c r="F32" s="6" t="s">
        <v>299</v>
      </c>
    </row>
    <row r="33" customFormat="false" ht="21.75" hidden="false" customHeight="true" outlineLevel="0" collapsed="false">
      <c r="A33" s="21" t="n">
        <v>30</v>
      </c>
      <c r="B33" s="21" t="s">
        <v>155</v>
      </c>
      <c r="C33" s="22" t="s">
        <v>160</v>
      </c>
      <c r="D33" s="20" t="s">
        <v>268</v>
      </c>
      <c r="E33" s="21" t="s">
        <v>162</v>
      </c>
      <c r="F33" s="21" t="s">
        <v>300</v>
      </c>
    </row>
    <row r="34" customFormat="false" ht="21.75" hidden="false" customHeight="true" outlineLevel="0" collapsed="false">
      <c r="A34" s="6" t="n">
        <v>31</v>
      </c>
      <c r="B34" s="6" t="s">
        <v>108</v>
      </c>
      <c r="C34" s="19" t="s">
        <v>164</v>
      </c>
      <c r="D34" s="24" t="s">
        <v>274</v>
      </c>
      <c r="E34" s="6" t="s">
        <v>166</v>
      </c>
      <c r="F34" s="6" t="s">
        <v>301</v>
      </c>
    </row>
    <row r="35" customFormat="false" ht="21.75" hidden="false" customHeight="true" outlineLevel="0" collapsed="false">
      <c r="A35" s="21" t="n">
        <v>32</v>
      </c>
      <c r="B35" s="21" t="s">
        <v>169</v>
      </c>
      <c r="C35" s="22" t="s">
        <v>170</v>
      </c>
      <c r="D35" s="20" t="s">
        <v>268</v>
      </c>
      <c r="E35" s="21" t="s">
        <v>172</v>
      </c>
      <c r="F35" s="21" t="s">
        <v>302</v>
      </c>
    </row>
    <row r="36" customFormat="false" ht="21.75" hidden="false" customHeight="true" outlineLevel="0" collapsed="false">
      <c r="A36" s="6" t="n">
        <v>33</v>
      </c>
      <c r="B36" s="6" t="s">
        <v>175</v>
      </c>
      <c r="C36" s="19" t="s">
        <v>176</v>
      </c>
      <c r="D36" s="20" t="s">
        <v>268</v>
      </c>
      <c r="E36" s="6" t="s">
        <v>178</v>
      </c>
      <c r="F36" s="6" t="s">
        <v>303</v>
      </c>
    </row>
    <row r="37" customFormat="false" ht="21.75" hidden="false" customHeight="true" outlineLevel="0" collapsed="false">
      <c r="A37" s="21" t="n">
        <v>34</v>
      </c>
      <c r="B37" s="21" t="s">
        <v>181</v>
      </c>
      <c r="C37" s="22" t="s">
        <v>182</v>
      </c>
      <c r="D37" s="23" t="s">
        <v>270</v>
      </c>
      <c r="E37" s="21" t="s">
        <v>184</v>
      </c>
      <c r="F37" s="21" t="s">
        <v>304</v>
      </c>
    </row>
    <row r="38" customFormat="false" ht="21.75" hidden="false" customHeight="true" outlineLevel="0" collapsed="false">
      <c r="A38" s="6" t="n">
        <v>35</v>
      </c>
      <c r="B38" s="6" t="s">
        <v>187</v>
      </c>
      <c r="C38" s="19" t="s">
        <v>188</v>
      </c>
      <c r="D38" s="20" t="s">
        <v>268</v>
      </c>
      <c r="E38" s="6" t="s">
        <v>190</v>
      </c>
      <c r="F38" s="6" t="s">
        <v>305</v>
      </c>
    </row>
    <row r="39" customFormat="false" ht="21.75" hidden="false" customHeight="true" outlineLevel="0" collapsed="false">
      <c r="A39" s="21" t="n">
        <v>36</v>
      </c>
      <c r="B39" s="21" t="s">
        <v>193</v>
      </c>
      <c r="C39" s="22" t="s">
        <v>194</v>
      </c>
      <c r="D39" s="23" t="s">
        <v>270</v>
      </c>
      <c r="E39" s="21" t="s">
        <v>196</v>
      </c>
      <c r="F39" s="21" t="s">
        <v>306</v>
      </c>
    </row>
    <row r="40" customFormat="false" ht="21.75" hidden="false" customHeight="true" outlineLevel="0" collapsed="false">
      <c r="A40" s="6" t="n">
        <v>37</v>
      </c>
      <c r="B40" s="6" t="s">
        <v>198</v>
      </c>
      <c r="C40" s="19" t="s">
        <v>199</v>
      </c>
      <c r="D40" s="24" t="s">
        <v>274</v>
      </c>
      <c r="E40" s="6" t="s">
        <v>201</v>
      </c>
      <c r="F40" s="6" t="s">
        <v>307</v>
      </c>
    </row>
    <row r="41" customFormat="false" ht="21.75" hidden="false" customHeight="true" outlineLevel="0" collapsed="false">
      <c r="A41" s="21" t="n">
        <v>38</v>
      </c>
      <c r="B41" s="21" t="s">
        <v>203</v>
      </c>
      <c r="C41" s="22" t="s">
        <v>204</v>
      </c>
      <c r="D41" s="24" t="s">
        <v>274</v>
      </c>
      <c r="E41" s="21" t="s">
        <v>206</v>
      </c>
      <c r="F41" s="21" t="s">
        <v>308</v>
      </c>
    </row>
    <row r="42" customFormat="false" ht="21.75" hidden="false" customHeight="true" outlineLevel="0" collapsed="false">
      <c r="A42" s="6" t="n">
        <v>39</v>
      </c>
      <c r="B42" s="6" t="s">
        <v>208</v>
      </c>
      <c r="C42" s="19" t="s">
        <v>209</v>
      </c>
      <c r="D42" s="24" t="s">
        <v>274</v>
      </c>
      <c r="E42" s="6" t="s">
        <v>211</v>
      </c>
      <c r="F42" s="6" t="s">
        <v>309</v>
      </c>
    </row>
    <row r="43" customFormat="false" ht="21.75" hidden="false" customHeight="true" outlineLevel="0" collapsed="false">
      <c r="A43" s="21" t="n">
        <v>40</v>
      </c>
      <c r="B43" s="21" t="s">
        <v>214</v>
      </c>
      <c r="C43" s="22" t="s">
        <v>215</v>
      </c>
      <c r="D43" s="20" t="s">
        <v>268</v>
      </c>
      <c r="E43" s="21" t="s">
        <v>217</v>
      </c>
      <c r="F43" s="21" t="s">
        <v>310</v>
      </c>
    </row>
    <row r="44" customFormat="false" ht="21.75" hidden="false" customHeight="true" outlineLevel="0" collapsed="false">
      <c r="A44" s="6" t="n">
        <v>41</v>
      </c>
      <c r="B44" s="6" t="s">
        <v>219</v>
      </c>
      <c r="C44" s="19" t="s">
        <v>220</v>
      </c>
      <c r="D44" s="23" t="s">
        <v>270</v>
      </c>
      <c r="E44" s="6" t="s">
        <v>222</v>
      </c>
      <c r="F44" s="6" t="s">
        <v>311</v>
      </c>
    </row>
    <row r="45" customFormat="false" ht="21.75" hidden="false" customHeight="true" outlineLevel="0" collapsed="false">
      <c r="A45" s="21" t="n">
        <v>42</v>
      </c>
      <c r="B45" s="21" t="s">
        <v>225</v>
      </c>
      <c r="C45" s="22" t="s">
        <v>226</v>
      </c>
      <c r="D45" s="20" t="s">
        <v>268</v>
      </c>
      <c r="E45" s="21" t="s">
        <v>228</v>
      </c>
      <c r="F45" s="21" t="s">
        <v>312</v>
      </c>
    </row>
    <row r="46" customFormat="false" ht="21.75" hidden="false" customHeight="true" outlineLevel="0" collapsed="false">
      <c r="A46" s="6" t="n">
        <v>43</v>
      </c>
      <c r="B46" s="6" t="s">
        <v>230</v>
      </c>
      <c r="C46" s="19" t="s">
        <v>231</v>
      </c>
      <c r="D46" s="20" t="s">
        <v>268</v>
      </c>
      <c r="E46" s="6" t="s">
        <v>233</v>
      </c>
      <c r="F46" s="6" t="s">
        <v>313</v>
      </c>
    </row>
    <row r="47" customFormat="false" ht="21.75" hidden="false" customHeight="true" outlineLevel="0" collapsed="false">
      <c r="A47" s="21" t="n">
        <v>44</v>
      </c>
      <c r="B47" s="21" t="s">
        <v>236</v>
      </c>
      <c r="C47" s="22" t="s">
        <v>237</v>
      </c>
      <c r="D47" s="24" t="s">
        <v>274</v>
      </c>
      <c r="E47" s="21" t="s">
        <v>239</v>
      </c>
      <c r="F47" s="21" t="s">
        <v>314</v>
      </c>
    </row>
    <row r="48" customFormat="false" ht="21.75" hidden="false" customHeight="true" outlineLevel="0" collapsed="false">
      <c r="A48" s="6" t="n">
        <v>45</v>
      </c>
      <c r="B48" s="6" t="s">
        <v>241</v>
      </c>
      <c r="C48" s="19" t="s">
        <v>242</v>
      </c>
      <c r="D48" s="20" t="s">
        <v>268</v>
      </c>
      <c r="E48" s="6" t="s">
        <v>244</v>
      </c>
      <c r="F48" s="6" t="s">
        <v>315</v>
      </c>
    </row>
    <row r="49" customFormat="false" ht="21.75" hidden="false" customHeight="true" outlineLevel="0" collapsed="false">
      <c r="A49" s="21" t="n">
        <v>46</v>
      </c>
      <c r="B49" s="21" t="s">
        <v>62</v>
      </c>
      <c r="C49" s="22" t="s">
        <v>247</v>
      </c>
      <c r="D49" s="23" t="s">
        <v>270</v>
      </c>
      <c r="E49" s="21" t="s">
        <v>248</v>
      </c>
      <c r="F49" s="21" t="s">
        <v>316</v>
      </c>
    </row>
    <row r="50" customFormat="false" ht="21.75" hidden="false" customHeight="true" outlineLevel="0" collapsed="false">
      <c r="A50" s="6" t="n">
        <v>47</v>
      </c>
      <c r="B50" s="6" t="s">
        <v>250</v>
      </c>
      <c r="C50" s="19" t="s">
        <v>251</v>
      </c>
      <c r="D50" s="23" t="s">
        <v>270</v>
      </c>
      <c r="E50" s="6" t="s">
        <v>253</v>
      </c>
      <c r="F50" s="6" t="s">
        <v>317</v>
      </c>
    </row>
    <row r="51" customFormat="false" ht="21.75" hidden="false" customHeight="true" outlineLevel="0" collapsed="false">
      <c r="A51" s="21" t="n">
        <v>48</v>
      </c>
      <c r="B51" s="21" t="s">
        <v>150</v>
      </c>
      <c r="C51" s="22" t="s">
        <v>255</v>
      </c>
      <c r="D51" s="23" t="s">
        <v>270</v>
      </c>
      <c r="E51" s="21" t="s">
        <v>257</v>
      </c>
      <c r="F51" s="21" t="s">
        <v>318</v>
      </c>
    </row>
    <row r="52" customFormat="false" ht="21.75" hidden="false" customHeight="true" outlineLevel="0" collapsed="false">
      <c r="A52" s="6" t="n">
        <v>49</v>
      </c>
      <c r="B52" s="6" t="s">
        <v>319</v>
      </c>
      <c r="C52" s="19" t="s">
        <v>320</v>
      </c>
      <c r="D52" s="25" t="s">
        <v>65</v>
      </c>
      <c r="E52" s="6" t="s">
        <v>321</v>
      </c>
      <c r="F52" s="6"/>
    </row>
    <row r="53" customFormat="false" ht="21.75" hidden="false" customHeight="true" outlineLevel="0" collapsed="false">
      <c r="A53" s="21" t="n">
        <v>50</v>
      </c>
      <c r="B53" s="21" t="s">
        <v>322</v>
      </c>
      <c r="C53" s="22" t="s">
        <v>323</v>
      </c>
      <c r="D53" s="25" t="s">
        <v>65</v>
      </c>
      <c r="E53" s="21" t="s">
        <v>324</v>
      </c>
      <c r="F53" s="21"/>
    </row>
    <row r="54" customFormat="false" ht="21.75" hidden="false" customHeight="true" outlineLevel="0" collapsed="false">
      <c r="A54" s="6" t="n">
        <v>51</v>
      </c>
      <c r="B54" s="6" t="s">
        <v>325</v>
      </c>
      <c r="C54" s="19" t="s">
        <v>326</v>
      </c>
      <c r="D54" s="25" t="s">
        <v>65</v>
      </c>
      <c r="E54" s="6" t="s">
        <v>9</v>
      </c>
      <c r="F54" s="6"/>
    </row>
    <row r="55" customFormat="false" ht="21.75" hidden="false" customHeight="true" outlineLevel="0" collapsed="false">
      <c r="A55" s="21" t="n">
        <v>52</v>
      </c>
      <c r="B55" s="21" t="s">
        <v>327</v>
      </c>
      <c r="C55" s="22" t="s">
        <v>328</v>
      </c>
      <c r="D55" s="25" t="s">
        <v>65</v>
      </c>
      <c r="E55" s="21" t="s">
        <v>329</v>
      </c>
      <c r="F55" s="21"/>
    </row>
    <row r="56" customFormat="false" ht="21.75" hidden="false" customHeight="true" outlineLevel="0" collapsed="false">
      <c r="A56" s="6" t="n">
        <v>53</v>
      </c>
      <c r="B56" s="6" t="s">
        <v>330</v>
      </c>
      <c r="C56" s="19" t="s">
        <v>331</v>
      </c>
      <c r="D56" s="25" t="s">
        <v>65</v>
      </c>
      <c r="E56" s="6" t="s">
        <v>332</v>
      </c>
      <c r="F56" s="6"/>
    </row>
    <row r="57" customFormat="false" ht="21.75" hidden="false" customHeight="true" outlineLevel="0" collapsed="false">
      <c r="A57" s="21" t="n">
        <v>54</v>
      </c>
      <c r="B57" s="21" t="s">
        <v>333</v>
      </c>
      <c r="C57" s="22" t="s">
        <v>334</v>
      </c>
      <c r="D57" s="25" t="s">
        <v>65</v>
      </c>
      <c r="E57" s="21" t="s">
        <v>335</v>
      </c>
      <c r="F57" s="21"/>
    </row>
    <row r="58" customFormat="false" ht="21.75" hidden="false" customHeight="true" outlineLevel="0" collapsed="false">
      <c r="A58" s="6" t="n">
        <v>55</v>
      </c>
      <c r="B58" s="6" t="s">
        <v>336</v>
      </c>
      <c r="C58" s="19" t="s">
        <v>337</v>
      </c>
      <c r="D58" s="25" t="s">
        <v>65</v>
      </c>
      <c r="E58" s="6" t="s">
        <v>338</v>
      </c>
      <c r="F58" s="6"/>
    </row>
    <row r="59" customFormat="false" ht="21.75" hidden="false" customHeight="true" outlineLevel="0" collapsed="false">
      <c r="A59" s="21" t="n">
        <v>56</v>
      </c>
      <c r="B59" s="21" t="s">
        <v>339</v>
      </c>
      <c r="C59" s="22" t="s">
        <v>340</v>
      </c>
      <c r="D59" s="25" t="s">
        <v>65</v>
      </c>
      <c r="E59" s="21" t="s">
        <v>341</v>
      </c>
      <c r="F59" s="21"/>
    </row>
    <row r="60" customFormat="false" ht="21.75" hidden="false" customHeight="true" outlineLevel="0" collapsed="false">
      <c r="A60" s="6" t="n">
        <v>57</v>
      </c>
      <c r="B60" s="6" t="s">
        <v>342</v>
      </c>
      <c r="C60" s="19" t="s">
        <v>343</v>
      </c>
      <c r="D60" s="25" t="s">
        <v>65</v>
      </c>
      <c r="E60" s="6" t="s">
        <v>344</v>
      </c>
      <c r="F60" s="6"/>
    </row>
    <row r="61" customFormat="false" ht="21.75" hidden="false" customHeight="true" outlineLevel="0" collapsed="false">
      <c r="A61" s="21" t="n">
        <v>58</v>
      </c>
      <c r="B61" s="21" t="s">
        <v>345</v>
      </c>
      <c r="C61" s="22" t="s">
        <v>346</v>
      </c>
      <c r="D61" s="25" t="s">
        <v>65</v>
      </c>
      <c r="E61" s="21" t="s">
        <v>347</v>
      </c>
      <c r="F61" s="21"/>
    </row>
    <row r="62" customFormat="false" ht="21.75" hidden="false" customHeight="true" outlineLevel="0" collapsed="false">
      <c r="A62" s="6" t="n">
        <v>59</v>
      </c>
      <c r="B62" s="6" t="s">
        <v>348</v>
      </c>
      <c r="C62" s="19" t="s">
        <v>349</v>
      </c>
      <c r="D62" s="25" t="s">
        <v>65</v>
      </c>
      <c r="E62" s="6" t="s">
        <v>350</v>
      </c>
      <c r="F62" s="6"/>
    </row>
    <row r="63" customFormat="false" ht="21.75" hidden="false" customHeight="true" outlineLevel="0" collapsed="false">
      <c r="A63" s="21" t="n">
        <v>60</v>
      </c>
      <c r="B63" s="21" t="s">
        <v>351</v>
      </c>
      <c r="C63" s="22" t="s">
        <v>352</v>
      </c>
      <c r="D63" s="25" t="s">
        <v>65</v>
      </c>
      <c r="E63" s="21" t="s">
        <v>353</v>
      </c>
      <c r="F63" s="21"/>
    </row>
    <row r="64" customFormat="false" ht="21.75" hidden="false" customHeight="true" outlineLevel="0" collapsed="false">
      <c r="A64" s="6" t="n">
        <v>61</v>
      </c>
      <c r="B64" s="6" t="s">
        <v>354</v>
      </c>
      <c r="C64" s="19" t="s">
        <v>355</v>
      </c>
      <c r="D64" s="25" t="s">
        <v>65</v>
      </c>
      <c r="E64" s="6" t="s">
        <v>356</v>
      </c>
      <c r="F64" s="6"/>
    </row>
    <row r="65" customFormat="false" ht="21.75" hidden="false" customHeight="true" outlineLevel="0" collapsed="false">
      <c r="A65" s="21" t="n">
        <v>62</v>
      </c>
      <c r="B65" s="21" t="s">
        <v>208</v>
      </c>
      <c r="C65" s="22" t="s">
        <v>357</v>
      </c>
      <c r="D65" s="25" t="s">
        <v>65</v>
      </c>
      <c r="E65" s="21" t="s">
        <v>358</v>
      </c>
      <c r="F65" s="21"/>
    </row>
    <row r="66" customFormat="false" ht="21.75" hidden="false" customHeight="true" outlineLevel="0" collapsed="false">
      <c r="A66" s="6" t="n">
        <v>63</v>
      </c>
      <c r="B66" s="6" t="s">
        <v>359</v>
      </c>
      <c r="C66" s="19" t="s">
        <v>360</v>
      </c>
      <c r="D66" s="25" t="s">
        <v>65</v>
      </c>
      <c r="E66" s="6" t="s">
        <v>361</v>
      </c>
      <c r="F66" s="6"/>
    </row>
    <row r="67" customFormat="false" ht="21.75" hidden="false" customHeight="true" outlineLevel="0" collapsed="false">
      <c r="A67" s="21" t="n">
        <v>64</v>
      </c>
      <c r="B67" s="21" t="s">
        <v>362</v>
      </c>
      <c r="C67" s="22" t="s">
        <v>363</v>
      </c>
      <c r="D67" s="25" t="s">
        <v>65</v>
      </c>
      <c r="E67" s="21" t="s">
        <v>364</v>
      </c>
      <c r="F67" s="21"/>
    </row>
    <row r="68" customFormat="false" ht="21.75" hidden="false" customHeight="true" outlineLevel="0" collapsed="false">
      <c r="A68" s="6" t="n">
        <v>65</v>
      </c>
      <c r="B68" s="6" t="s">
        <v>322</v>
      </c>
      <c r="C68" s="19" t="s">
        <v>365</v>
      </c>
      <c r="D68" s="26" t="s">
        <v>222</v>
      </c>
      <c r="E68" s="6" t="s">
        <v>366</v>
      </c>
      <c r="F68" s="6"/>
    </row>
    <row r="69" customFormat="false" ht="21.75" hidden="false" customHeight="true" outlineLevel="0" collapsed="false">
      <c r="A69" s="21" t="n">
        <v>66</v>
      </c>
      <c r="B69" s="21" t="s">
        <v>367</v>
      </c>
      <c r="C69" s="22" t="s">
        <v>368</v>
      </c>
      <c r="D69" s="26" t="s">
        <v>222</v>
      </c>
      <c r="E69" s="21" t="s">
        <v>369</v>
      </c>
      <c r="F69" s="21"/>
    </row>
    <row r="70" customFormat="false" ht="21.75" hidden="false" customHeight="true" outlineLevel="0" collapsed="false">
      <c r="A70" s="6" t="n">
        <v>67</v>
      </c>
      <c r="B70" s="6" t="s">
        <v>333</v>
      </c>
      <c r="C70" s="19" t="s">
        <v>370</v>
      </c>
      <c r="D70" s="26" t="s">
        <v>222</v>
      </c>
      <c r="E70" s="6" t="s">
        <v>370</v>
      </c>
      <c r="F70" s="6"/>
    </row>
    <row r="71" customFormat="false" ht="21.75" hidden="false" customHeight="true" outlineLevel="0" collapsed="false">
      <c r="A71" s="21" t="n">
        <v>68</v>
      </c>
      <c r="B71" s="21" t="s">
        <v>371</v>
      </c>
      <c r="C71" s="22" t="s">
        <v>372</v>
      </c>
      <c r="D71" s="26" t="s">
        <v>222</v>
      </c>
      <c r="E71" s="21" t="s">
        <v>373</v>
      </c>
      <c r="F71" s="21"/>
    </row>
    <row r="72" customFormat="false" ht="21.75" hidden="false" customHeight="true" outlineLevel="0" collapsed="false">
      <c r="A72" s="6" t="n">
        <v>69</v>
      </c>
      <c r="B72" s="6" t="s">
        <v>374</v>
      </c>
      <c r="C72" s="19" t="s">
        <v>375</v>
      </c>
      <c r="D72" s="26" t="s">
        <v>222</v>
      </c>
      <c r="E72" s="6" t="s">
        <v>376</v>
      </c>
      <c r="F72" s="6"/>
    </row>
    <row r="73" customFormat="false" ht="21.75" hidden="false" customHeight="true" outlineLevel="0" collapsed="false">
      <c r="A73" s="21" t="n">
        <v>70</v>
      </c>
      <c r="B73" s="21" t="s">
        <v>351</v>
      </c>
      <c r="C73" s="22" t="s">
        <v>377</v>
      </c>
      <c r="D73" s="26" t="s">
        <v>222</v>
      </c>
      <c r="E73" s="21" t="s">
        <v>378</v>
      </c>
      <c r="F73" s="21"/>
    </row>
    <row r="74" customFormat="false" ht="21.75" hidden="false" customHeight="true" outlineLevel="0" collapsed="false">
      <c r="A74" s="6" t="n">
        <v>71</v>
      </c>
      <c r="B74" s="6" t="s">
        <v>379</v>
      </c>
      <c r="C74" s="19" t="s">
        <v>380</v>
      </c>
      <c r="D74" s="26" t="s">
        <v>222</v>
      </c>
      <c r="E74" s="6" t="s">
        <v>381</v>
      </c>
      <c r="F74" s="6"/>
    </row>
    <row r="75" customFormat="false" ht="21.75" hidden="false" customHeight="true" outlineLevel="0" collapsed="false">
      <c r="A75" s="21" t="n">
        <v>72</v>
      </c>
      <c r="B75" s="21" t="s">
        <v>330</v>
      </c>
      <c r="C75" s="22" t="s">
        <v>382</v>
      </c>
      <c r="D75" s="26" t="s">
        <v>222</v>
      </c>
      <c r="E75" s="21" t="s">
        <v>383</v>
      </c>
      <c r="F75" s="21"/>
    </row>
    <row r="76" customFormat="false" ht="21.75" hidden="false" customHeight="true" outlineLevel="0" collapsed="false">
      <c r="A76" s="6" t="n">
        <v>73</v>
      </c>
      <c r="B76" s="6" t="s">
        <v>384</v>
      </c>
      <c r="C76" s="19" t="s">
        <v>385</v>
      </c>
      <c r="D76" s="26" t="s">
        <v>222</v>
      </c>
      <c r="E76" s="6" t="s">
        <v>386</v>
      </c>
      <c r="F76" s="6"/>
    </row>
    <row r="77" customFormat="false" ht="21.75" hidden="false" customHeight="true" outlineLevel="0" collapsed="false">
      <c r="A77" s="21" t="n">
        <v>74</v>
      </c>
      <c r="B77" s="21" t="s">
        <v>359</v>
      </c>
      <c r="C77" s="22" t="s">
        <v>387</v>
      </c>
      <c r="D77" s="26" t="s">
        <v>222</v>
      </c>
      <c r="E77" s="21" t="s">
        <v>387</v>
      </c>
      <c r="F77" s="21"/>
    </row>
    <row r="78" customFormat="false" ht="21.75" hidden="false" customHeight="true" outlineLevel="0" collapsed="false">
      <c r="A78" s="6" t="n">
        <v>75</v>
      </c>
      <c r="B78" s="6" t="s">
        <v>388</v>
      </c>
      <c r="C78" s="19" t="s">
        <v>389</v>
      </c>
      <c r="D78" s="26" t="s">
        <v>222</v>
      </c>
      <c r="E78" s="6" t="s">
        <v>389</v>
      </c>
      <c r="F78" s="6"/>
    </row>
    <row r="79" customFormat="false" ht="21.75" hidden="false" customHeight="true" outlineLevel="0" collapsed="false">
      <c r="A79" s="21" t="n">
        <v>76</v>
      </c>
      <c r="B79" s="21" t="s">
        <v>354</v>
      </c>
      <c r="C79" s="22" t="s">
        <v>390</v>
      </c>
      <c r="D79" s="26" t="s">
        <v>222</v>
      </c>
      <c r="E79" s="21" t="s">
        <v>391</v>
      </c>
      <c r="F79" s="21"/>
    </row>
    <row r="80" customFormat="false" ht="21.75" hidden="false" customHeight="true" outlineLevel="0" collapsed="false">
      <c r="A80" s="6" t="n">
        <v>77</v>
      </c>
      <c r="B80" s="6" t="s">
        <v>336</v>
      </c>
      <c r="C80" s="19" t="s">
        <v>392</v>
      </c>
      <c r="D80" s="26" t="s">
        <v>222</v>
      </c>
      <c r="E80" s="6" t="s">
        <v>393</v>
      </c>
      <c r="F80" s="6"/>
    </row>
    <row r="81" customFormat="false" ht="21.75" hidden="false" customHeight="true" outlineLevel="0" collapsed="false">
      <c r="A81" s="21" t="n">
        <v>78</v>
      </c>
      <c r="B81" s="21" t="s">
        <v>348</v>
      </c>
      <c r="C81" s="22" t="s">
        <v>394</v>
      </c>
      <c r="D81" s="26" t="s">
        <v>222</v>
      </c>
      <c r="E81" s="21" t="s">
        <v>395</v>
      </c>
      <c r="F81" s="21"/>
    </row>
    <row r="82" customFormat="false" ht="21.75" hidden="false" customHeight="true" outlineLevel="0" collapsed="false">
      <c r="A82" s="6" t="n">
        <v>79</v>
      </c>
      <c r="B82" s="6" t="s">
        <v>396</v>
      </c>
      <c r="C82" s="19" t="s">
        <v>397</v>
      </c>
      <c r="D82" s="26" t="s">
        <v>222</v>
      </c>
      <c r="E82" s="6" t="s">
        <v>398</v>
      </c>
      <c r="F82" s="6"/>
    </row>
    <row r="83" customFormat="false" ht="21.75" hidden="false" customHeight="true" outlineLevel="0" collapsed="false">
      <c r="A83" s="21" t="n">
        <v>80</v>
      </c>
      <c r="B83" s="21" t="s">
        <v>342</v>
      </c>
      <c r="C83" s="22" t="s">
        <v>399</v>
      </c>
      <c r="D83" s="26" t="s">
        <v>222</v>
      </c>
      <c r="E83" s="21" t="s">
        <v>400</v>
      </c>
      <c r="F83" s="21"/>
    </row>
    <row r="84" customFormat="false" ht="21.75" hidden="false" customHeight="true" outlineLevel="0" collapsed="false">
      <c r="A84" s="6" t="n">
        <v>81</v>
      </c>
      <c r="B84" s="6" t="s">
        <v>401</v>
      </c>
      <c r="C84" s="19" t="s">
        <v>402</v>
      </c>
      <c r="D84" s="26" t="s">
        <v>222</v>
      </c>
      <c r="E84" s="6" t="s">
        <v>403</v>
      </c>
      <c r="F84" s="6"/>
    </row>
    <row r="85" customFormat="false" ht="21.75" hidden="false" customHeight="true" outlineLevel="0" collapsed="false">
      <c r="A85" s="21" t="n">
        <v>82</v>
      </c>
      <c r="B85" s="21" t="s">
        <v>404</v>
      </c>
      <c r="C85" s="22" t="s">
        <v>405</v>
      </c>
      <c r="D85" s="27" t="s">
        <v>217</v>
      </c>
      <c r="E85" s="21" t="s">
        <v>406</v>
      </c>
      <c r="F85" s="21"/>
    </row>
    <row r="86" customFormat="false" ht="21.75" hidden="false" customHeight="true" outlineLevel="0" collapsed="false">
      <c r="A86" s="6" t="n">
        <v>83</v>
      </c>
      <c r="B86" s="6" t="s">
        <v>407</v>
      </c>
      <c r="C86" s="19" t="s">
        <v>408</v>
      </c>
      <c r="D86" s="27" t="s">
        <v>217</v>
      </c>
      <c r="E86" s="6" t="s">
        <v>409</v>
      </c>
      <c r="F86" s="6"/>
    </row>
    <row r="87" customFormat="false" ht="21.75" hidden="false" customHeight="true" outlineLevel="0" collapsed="false">
      <c r="A87" s="21" t="n">
        <v>84</v>
      </c>
      <c r="B87" s="21" t="s">
        <v>410</v>
      </c>
      <c r="C87" s="22" t="s">
        <v>411</v>
      </c>
      <c r="D87" s="27" t="s">
        <v>217</v>
      </c>
      <c r="E87" s="21" t="s">
        <v>412</v>
      </c>
      <c r="F87" s="21"/>
    </row>
    <row r="88" customFormat="false" ht="21.75" hidden="false" customHeight="true" outlineLevel="0" collapsed="false">
      <c r="A88" s="6" t="n">
        <v>85</v>
      </c>
      <c r="B88" s="6" t="s">
        <v>413</v>
      </c>
      <c r="C88" s="19" t="s">
        <v>414</v>
      </c>
      <c r="D88" s="27" t="s">
        <v>217</v>
      </c>
      <c r="E88" s="6" t="s">
        <v>415</v>
      </c>
      <c r="F88" s="6"/>
    </row>
    <row r="89" customFormat="false" ht="21.75" hidden="false" customHeight="true" outlineLevel="0" collapsed="false">
      <c r="A89" s="21" t="n">
        <v>86</v>
      </c>
      <c r="B89" s="21" t="s">
        <v>416</v>
      </c>
      <c r="C89" s="22" t="s">
        <v>417</v>
      </c>
      <c r="D89" s="27" t="s">
        <v>217</v>
      </c>
      <c r="E89" s="21" t="s">
        <v>418</v>
      </c>
      <c r="F89" s="21"/>
    </row>
    <row r="90" customFormat="false" ht="21.75" hidden="false" customHeight="true" outlineLevel="0" collapsed="false">
      <c r="A90" s="6" t="n">
        <v>87</v>
      </c>
      <c r="B90" s="6" t="s">
        <v>419</v>
      </c>
      <c r="C90" s="19" t="s">
        <v>420</v>
      </c>
      <c r="D90" s="27" t="s">
        <v>217</v>
      </c>
      <c r="E90" s="6" t="s">
        <v>421</v>
      </c>
      <c r="F90" s="6"/>
    </row>
    <row r="91" customFormat="false" ht="21.75" hidden="false" customHeight="true" outlineLevel="0" collapsed="false">
      <c r="A91" s="21" t="n">
        <v>88</v>
      </c>
      <c r="B91" s="21" t="s">
        <v>422</v>
      </c>
      <c r="C91" s="22" t="s">
        <v>423</v>
      </c>
      <c r="D91" s="27" t="s">
        <v>217</v>
      </c>
      <c r="E91" s="21" t="s">
        <v>424</v>
      </c>
      <c r="F91" s="21"/>
    </row>
    <row r="92" customFormat="false" ht="21.75" hidden="false" customHeight="true" outlineLevel="0" collapsed="false">
      <c r="A92" s="6" t="n">
        <v>89</v>
      </c>
      <c r="B92" s="6" t="s">
        <v>425</v>
      </c>
      <c r="C92" s="19" t="s">
        <v>426</v>
      </c>
      <c r="D92" s="27" t="s">
        <v>217</v>
      </c>
      <c r="E92" s="6" t="s">
        <v>427</v>
      </c>
      <c r="F92" s="6"/>
    </row>
    <row r="93" customFormat="false" ht="21.75" hidden="false" customHeight="true" outlineLevel="0" collapsed="false">
      <c r="A93" s="21" t="n">
        <v>90</v>
      </c>
      <c r="B93" s="21" t="s">
        <v>428</v>
      </c>
      <c r="C93" s="22" t="s">
        <v>429</v>
      </c>
      <c r="D93" s="27" t="s">
        <v>217</v>
      </c>
      <c r="E93" s="21" t="s">
        <v>430</v>
      </c>
      <c r="F93" s="21"/>
    </row>
    <row r="94" customFormat="false" ht="21.75" hidden="false" customHeight="true" outlineLevel="0" collapsed="false">
      <c r="A94" s="6" t="n">
        <v>91</v>
      </c>
      <c r="B94" s="6" t="s">
        <v>431</v>
      </c>
      <c r="C94" s="19" t="s">
        <v>432</v>
      </c>
      <c r="D94" s="27" t="s">
        <v>217</v>
      </c>
      <c r="E94" s="6" t="s">
        <v>433</v>
      </c>
      <c r="F94" s="6"/>
    </row>
    <row r="95" customFormat="false" ht="21.75" hidden="false" customHeight="true" outlineLevel="0" collapsed="false">
      <c r="A95" s="21" t="n">
        <v>92</v>
      </c>
      <c r="B95" s="21" t="s">
        <v>434</v>
      </c>
      <c r="C95" s="22" t="s">
        <v>435</v>
      </c>
      <c r="D95" s="27" t="s">
        <v>217</v>
      </c>
      <c r="E95" s="21" t="s">
        <v>436</v>
      </c>
      <c r="F95" s="21"/>
    </row>
    <row r="96" customFormat="false" ht="21.75" hidden="false" customHeight="true" outlineLevel="0" collapsed="false">
      <c r="A96" s="6" t="n">
        <v>93</v>
      </c>
      <c r="B96" s="6" t="s">
        <v>214</v>
      </c>
      <c r="C96" s="19" t="s">
        <v>437</v>
      </c>
      <c r="D96" s="27" t="s">
        <v>217</v>
      </c>
      <c r="E96" s="6" t="s">
        <v>438</v>
      </c>
      <c r="F96" s="6"/>
    </row>
    <row r="97" customFormat="false" ht="21.75" hidden="false" customHeight="true" outlineLevel="0" collapsed="false">
      <c r="A97" s="21" t="n">
        <v>94</v>
      </c>
      <c r="B97" s="21" t="s">
        <v>214</v>
      </c>
      <c r="C97" s="22" t="s">
        <v>439</v>
      </c>
      <c r="D97" s="27" t="s">
        <v>217</v>
      </c>
      <c r="E97" s="21" t="s">
        <v>440</v>
      </c>
      <c r="F97" s="21"/>
    </row>
    <row r="98" customFormat="false" ht="21.75" hidden="false" customHeight="true" outlineLevel="0" collapsed="false">
      <c r="A98" s="6" t="n">
        <v>95</v>
      </c>
      <c r="B98" s="6" t="s">
        <v>214</v>
      </c>
      <c r="C98" s="19" t="s">
        <v>441</v>
      </c>
      <c r="D98" s="27" t="s">
        <v>217</v>
      </c>
      <c r="E98" s="6" t="s">
        <v>442</v>
      </c>
      <c r="F98" s="6"/>
    </row>
    <row r="99" customFormat="false" ht="21.75" hidden="false" customHeight="true" outlineLevel="0" collapsed="false">
      <c r="A99" s="21" t="n">
        <v>96</v>
      </c>
      <c r="B99" s="21" t="s">
        <v>214</v>
      </c>
      <c r="C99" s="22" t="s">
        <v>443</v>
      </c>
      <c r="D99" s="27" t="s">
        <v>217</v>
      </c>
      <c r="E99" s="21" t="s">
        <v>444</v>
      </c>
      <c r="F99" s="21"/>
    </row>
    <row r="100" customFormat="false" ht="21.75" hidden="false" customHeight="true" outlineLevel="0" collapsed="false">
      <c r="A100" s="6" t="n">
        <v>97</v>
      </c>
      <c r="B100" s="6" t="s">
        <v>214</v>
      </c>
      <c r="C100" s="19" t="s">
        <v>445</v>
      </c>
      <c r="D100" s="27" t="s">
        <v>217</v>
      </c>
      <c r="E100" s="6" t="s">
        <v>446</v>
      </c>
      <c r="F100" s="6"/>
    </row>
    <row r="101" customFormat="false" ht="21.75" hidden="false" customHeight="true" outlineLevel="0" collapsed="false">
      <c r="A101" s="21" t="n">
        <v>98</v>
      </c>
      <c r="B101" s="21" t="s">
        <v>214</v>
      </c>
      <c r="C101" s="22" t="s">
        <v>447</v>
      </c>
      <c r="D101" s="27" t="s">
        <v>217</v>
      </c>
      <c r="E101" s="21" t="s">
        <v>448</v>
      </c>
      <c r="F101" s="21"/>
    </row>
    <row r="102" customFormat="false" ht="21.75" hidden="false" customHeight="true" outlineLevel="0" collapsed="false">
      <c r="A102" s="6" t="n">
        <v>99</v>
      </c>
      <c r="B102" s="6" t="s">
        <v>214</v>
      </c>
      <c r="C102" s="19" t="s">
        <v>449</v>
      </c>
      <c r="D102" s="27" t="s">
        <v>217</v>
      </c>
      <c r="E102" s="6" t="s">
        <v>450</v>
      </c>
      <c r="F102" s="6"/>
    </row>
    <row r="103" customFormat="false" ht="21.75" hidden="false" customHeight="true" outlineLevel="0" collapsed="false">
      <c r="A103" s="21" t="n">
        <v>100</v>
      </c>
      <c r="B103" s="21" t="s">
        <v>214</v>
      </c>
      <c r="C103" s="22" t="s">
        <v>451</v>
      </c>
      <c r="D103" s="27" t="s">
        <v>217</v>
      </c>
      <c r="E103" s="21" t="s">
        <v>452</v>
      </c>
      <c r="F103" s="21"/>
    </row>
    <row r="104" customFormat="false" ht="21.75" hidden="false" customHeight="true" outlineLevel="0" collapsed="false">
      <c r="A104" s="6" t="n">
        <v>101</v>
      </c>
      <c r="B104" s="6" t="s">
        <v>214</v>
      </c>
      <c r="C104" s="19" t="s">
        <v>453</v>
      </c>
      <c r="D104" s="27" t="s">
        <v>217</v>
      </c>
      <c r="E104" s="6" t="s">
        <v>454</v>
      </c>
      <c r="F104" s="6"/>
    </row>
    <row r="105" customFormat="false" ht="21.75" hidden="false" customHeight="true" outlineLevel="0" collapsed="false">
      <c r="A105" s="21" t="n">
        <v>102</v>
      </c>
      <c r="B105" s="21" t="s">
        <v>214</v>
      </c>
      <c r="C105" s="22" t="s">
        <v>455</v>
      </c>
      <c r="D105" s="27" t="s">
        <v>217</v>
      </c>
      <c r="E105" s="21" t="s">
        <v>456</v>
      </c>
      <c r="F105" s="21"/>
    </row>
    <row r="106" customFormat="false" ht="21.75" hidden="false" customHeight="true" outlineLevel="0" collapsed="false">
      <c r="A106" s="6" t="n">
        <v>103</v>
      </c>
      <c r="B106" s="6" t="s">
        <v>457</v>
      </c>
      <c r="C106" s="19" t="s">
        <v>458</v>
      </c>
      <c r="D106" s="28" t="s">
        <v>459</v>
      </c>
      <c r="E106" s="6" t="s">
        <v>460</v>
      </c>
      <c r="F106" s="6"/>
    </row>
    <row r="107" customFormat="false" ht="21.75" hidden="false" customHeight="true" outlineLevel="0" collapsed="false">
      <c r="A107" s="21" t="n">
        <v>104</v>
      </c>
      <c r="B107" s="21" t="s">
        <v>457</v>
      </c>
      <c r="C107" s="22" t="s">
        <v>461</v>
      </c>
      <c r="D107" s="28" t="s">
        <v>459</v>
      </c>
      <c r="E107" s="21" t="s">
        <v>462</v>
      </c>
      <c r="F107" s="21"/>
    </row>
    <row r="108" customFormat="false" ht="21.75" hidden="false" customHeight="true" outlineLevel="0" collapsed="false">
      <c r="A108" s="6" t="n">
        <v>105</v>
      </c>
      <c r="B108" s="6" t="s">
        <v>457</v>
      </c>
      <c r="C108" s="19" t="s">
        <v>463</v>
      </c>
      <c r="D108" s="28" t="s">
        <v>459</v>
      </c>
      <c r="E108" s="6" t="s">
        <v>464</v>
      </c>
      <c r="F108" s="6"/>
    </row>
    <row r="109" customFormat="false" ht="21.75" hidden="false" customHeight="true" outlineLevel="0" collapsed="false">
      <c r="A109" s="21" t="n">
        <v>106</v>
      </c>
      <c r="B109" s="21" t="s">
        <v>457</v>
      </c>
      <c r="C109" s="22" t="s">
        <v>465</v>
      </c>
      <c r="D109" s="28" t="s">
        <v>459</v>
      </c>
      <c r="E109" s="21" t="s">
        <v>464</v>
      </c>
      <c r="F109" s="21"/>
    </row>
    <row r="110" customFormat="false" ht="21.75" hidden="false" customHeight="true" outlineLevel="0" collapsed="false">
      <c r="A110" s="6" t="n">
        <v>107</v>
      </c>
      <c r="B110" s="6" t="s">
        <v>457</v>
      </c>
      <c r="C110" s="19" t="s">
        <v>466</v>
      </c>
      <c r="D110" s="28" t="s">
        <v>459</v>
      </c>
      <c r="E110" s="6" t="s">
        <v>467</v>
      </c>
      <c r="F110" s="6"/>
    </row>
    <row r="111" customFormat="false" ht="21.75" hidden="false" customHeight="true" outlineLevel="0" collapsed="false">
      <c r="A111" s="21" t="n">
        <v>108</v>
      </c>
      <c r="B111" s="21" t="s">
        <v>457</v>
      </c>
      <c r="C111" s="22" t="s">
        <v>468</v>
      </c>
      <c r="D111" s="28" t="s">
        <v>459</v>
      </c>
      <c r="E111" s="21" t="s">
        <v>469</v>
      </c>
      <c r="F111" s="21"/>
    </row>
    <row r="112" customFormat="false" ht="21.75" hidden="false" customHeight="true" outlineLevel="0" collapsed="false">
      <c r="A112" s="6" t="n">
        <v>109</v>
      </c>
      <c r="B112" s="6" t="s">
        <v>470</v>
      </c>
      <c r="C112" s="19" t="s">
        <v>471</v>
      </c>
      <c r="D112" s="28" t="s">
        <v>459</v>
      </c>
      <c r="E112" s="6" t="s">
        <v>472</v>
      </c>
      <c r="F112" s="6"/>
    </row>
    <row r="113" customFormat="false" ht="21.75" hidden="false" customHeight="true" outlineLevel="0" collapsed="false">
      <c r="A113" s="21" t="n">
        <v>110</v>
      </c>
      <c r="B113" s="21" t="s">
        <v>473</v>
      </c>
      <c r="C113" s="22" t="s">
        <v>474</v>
      </c>
      <c r="D113" s="28" t="s">
        <v>459</v>
      </c>
      <c r="E113" s="21" t="s">
        <v>475</v>
      </c>
      <c r="F113" s="21"/>
    </row>
    <row r="114" customFormat="false" ht="21.75" hidden="false" customHeight="true" outlineLevel="0" collapsed="false">
      <c r="A114" s="6" t="n">
        <v>111</v>
      </c>
      <c r="B114" s="6" t="s">
        <v>476</v>
      </c>
      <c r="C114" s="19" t="s">
        <v>477</v>
      </c>
      <c r="D114" s="28" t="s">
        <v>459</v>
      </c>
      <c r="E114" s="6" t="s">
        <v>478</v>
      </c>
      <c r="F114" s="6"/>
    </row>
    <row r="115" customFormat="false" ht="21.75" hidden="false" customHeight="true" outlineLevel="0" collapsed="false">
      <c r="A115" s="21" t="n">
        <v>112</v>
      </c>
      <c r="B115" s="21" t="s">
        <v>73</v>
      </c>
      <c r="C115" s="22" t="s">
        <v>479</v>
      </c>
      <c r="D115" s="28" t="s">
        <v>459</v>
      </c>
      <c r="E115" s="21" t="s">
        <v>480</v>
      </c>
      <c r="F115" s="21"/>
    </row>
    <row r="116" customFormat="false" ht="21.75" hidden="false" customHeight="true" outlineLevel="0" collapsed="false">
      <c r="A116" s="6" t="n">
        <v>113</v>
      </c>
      <c r="B116" s="6" t="s">
        <v>73</v>
      </c>
      <c r="C116" s="19" t="s">
        <v>481</v>
      </c>
      <c r="D116" s="28" t="s">
        <v>459</v>
      </c>
      <c r="E116" s="6" t="s">
        <v>482</v>
      </c>
      <c r="F116" s="6"/>
    </row>
    <row r="117" customFormat="false" ht="21.75" hidden="false" customHeight="true" outlineLevel="0" collapsed="false">
      <c r="A117" s="21" t="n">
        <v>114</v>
      </c>
      <c r="B117" s="21" t="s">
        <v>90</v>
      </c>
      <c r="C117" s="22" t="s">
        <v>483</v>
      </c>
      <c r="D117" s="29" t="s">
        <v>115</v>
      </c>
      <c r="E117" s="21" t="s">
        <v>484</v>
      </c>
      <c r="F117" s="21"/>
    </row>
    <row r="118" customFormat="false" ht="21.75" hidden="false" customHeight="true" outlineLevel="0" collapsed="false">
      <c r="A118" s="6" t="n">
        <v>115</v>
      </c>
      <c r="B118" s="6" t="s">
        <v>485</v>
      </c>
      <c r="C118" s="19" t="s">
        <v>486</v>
      </c>
      <c r="D118" s="29" t="s">
        <v>115</v>
      </c>
      <c r="E118" s="6" t="s">
        <v>487</v>
      </c>
      <c r="F118" s="6"/>
    </row>
    <row r="119" customFormat="false" ht="21.75" hidden="false" customHeight="true" outlineLevel="0" collapsed="false">
      <c r="A119" s="21" t="n">
        <v>116</v>
      </c>
      <c r="B119" s="21" t="s">
        <v>488</v>
      </c>
      <c r="C119" s="22" t="s">
        <v>489</v>
      </c>
      <c r="D119" s="29" t="s">
        <v>115</v>
      </c>
      <c r="E119" s="21" t="s">
        <v>490</v>
      </c>
      <c r="F119" s="21"/>
    </row>
    <row r="120" customFormat="false" ht="21.75" hidden="false" customHeight="true" outlineLevel="0" collapsed="false">
      <c r="A120" s="6" t="n">
        <v>117</v>
      </c>
      <c r="B120" s="6" t="s">
        <v>491</v>
      </c>
      <c r="C120" s="19" t="s">
        <v>492</v>
      </c>
      <c r="D120" s="29" t="s">
        <v>115</v>
      </c>
      <c r="E120" s="6" t="s">
        <v>493</v>
      </c>
      <c r="F120" s="6"/>
    </row>
    <row r="121" customFormat="false" ht="21.75" hidden="false" customHeight="true" outlineLevel="0" collapsed="false">
      <c r="A121" s="21" t="n">
        <v>118</v>
      </c>
      <c r="B121" s="21" t="s">
        <v>494</v>
      </c>
      <c r="C121" s="22" t="s">
        <v>495</v>
      </c>
      <c r="D121" s="29" t="s">
        <v>115</v>
      </c>
      <c r="E121" s="21" t="s">
        <v>496</v>
      </c>
      <c r="F121" s="21"/>
    </row>
    <row r="122" customFormat="false" ht="21.75" hidden="false" customHeight="true" outlineLevel="0" collapsed="false">
      <c r="A122" s="6" t="n">
        <v>119</v>
      </c>
      <c r="B122" s="6" t="s">
        <v>494</v>
      </c>
      <c r="C122" s="19" t="s">
        <v>497</v>
      </c>
      <c r="D122" s="29" t="s">
        <v>115</v>
      </c>
      <c r="E122" s="6" t="s">
        <v>498</v>
      </c>
      <c r="F122" s="6"/>
    </row>
    <row r="123" customFormat="false" ht="21.75" hidden="false" customHeight="true" outlineLevel="0" collapsed="false">
      <c r="A123" s="21" t="n">
        <v>120</v>
      </c>
      <c r="B123" s="21" t="s">
        <v>208</v>
      </c>
      <c r="C123" s="22" t="s">
        <v>499</v>
      </c>
      <c r="D123" s="29" t="s">
        <v>115</v>
      </c>
      <c r="E123" s="21" t="s">
        <v>500</v>
      </c>
      <c r="F123" s="21"/>
    </row>
    <row r="124" customFormat="false" ht="21.75" hidden="false" customHeight="true" outlineLevel="0" collapsed="false">
      <c r="A124" s="6" t="n">
        <v>121</v>
      </c>
      <c r="B124" s="6" t="s">
        <v>241</v>
      </c>
      <c r="C124" s="19" t="s">
        <v>501</v>
      </c>
      <c r="D124" s="29" t="s">
        <v>115</v>
      </c>
      <c r="E124" s="6" t="s">
        <v>502</v>
      </c>
      <c r="F124" s="6"/>
    </row>
    <row r="125" customFormat="false" ht="21.75" hidden="false" customHeight="true" outlineLevel="0" collapsed="false">
      <c r="A125" s="21" t="n">
        <v>122</v>
      </c>
      <c r="B125" s="21" t="s">
        <v>503</v>
      </c>
      <c r="C125" s="22" t="s">
        <v>504</v>
      </c>
      <c r="D125" s="29" t="s">
        <v>115</v>
      </c>
      <c r="E125" s="21" t="s">
        <v>505</v>
      </c>
      <c r="F125" s="21"/>
    </row>
    <row r="126" customFormat="false" ht="21.75" hidden="false" customHeight="true" outlineLevel="0" collapsed="false">
      <c r="A126" s="6" t="n">
        <v>123</v>
      </c>
      <c r="B126" s="6" t="s">
        <v>121</v>
      </c>
      <c r="C126" s="19" t="s">
        <v>506</v>
      </c>
      <c r="D126" s="29" t="s">
        <v>115</v>
      </c>
      <c r="E126" s="6" t="s">
        <v>507</v>
      </c>
      <c r="F126" s="6"/>
    </row>
    <row r="127" customFormat="false" ht="21.75" hidden="false" customHeight="true" outlineLevel="0" collapsed="false">
      <c r="A127" s="21" t="n">
        <v>124</v>
      </c>
      <c r="B127" s="21" t="s">
        <v>508</v>
      </c>
      <c r="C127" s="22" t="s">
        <v>509</v>
      </c>
      <c r="D127" s="29" t="s">
        <v>115</v>
      </c>
      <c r="E127" s="21" t="s">
        <v>510</v>
      </c>
      <c r="F127" s="21"/>
    </row>
    <row r="128" customFormat="false" ht="21.75" hidden="false" customHeight="true" outlineLevel="0" collapsed="false">
      <c r="A128" s="6" t="n">
        <v>125</v>
      </c>
      <c r="B128" s="6" t="s">
        <v>112</v>
      </c>
      <c r="C128" s="19" t="s">
        <v>511</v>
      </c>
      <c r="D128" s="29" t="s">
        <v>115</v>
      </c>
      <c r="E128" s="6" t="s">
        <v>512</v>
      </c>
      <c r="F128" s="6"/>
    </row>
    <row r="129" customFormat="false" ht="21.75" hidden="false" customHeight="true" outlineLevel="0" collapsed="false">
      <c r="A129" s="21" t="n">
        <v>126</v>
      </c>
      <c r="B129" s="21" t="s">
        <v>513</v>
      </c>
      <c r="C129" s="22" t="s">
        <v>514</v>
      </c>
      <c r="D129" s="29" t="s">
        <v>115</v>
      </c>
      <c r="E129" s="21" t="s">
        <v>515</v>
      </c>
      <c r="F129" s="21"/>
    </row>
    <row r="130" customFormat="false" ht="21.75" hidden="false" customHeight="true" outlineLevel="0" collapsed="false">
      <c r="A130" s="6" t="n">
        <v>127</v>
      </c>
      <c r="B130" s="6" t="s">
        <v>62</v>
      </c>
      <c r="C130" s="19" t="s">
        <v>516</v>
      </c>
      <c r="D130" s="29" t="s">
        <v>115</v>
      </c>
      <c r="E130" s="6" t="s">
        <v>517</v>
      </c>
      <c r="F130" s="6"/>
    </row>
    <row r="131" customFormat="false" ht="21.75" hidden="false" customHeight="true" outlineLevel="0" collapsed="false">
      <c r="A131" s="21" t="n">
        <v>128</v>
      </c>
      <c r="B131" s="21" t="s">
        <v>518</v>
      </c>
      <c r="C131" s="22" t="s">
        <v>519</v>
      </c>
      <c r="D131" s="29" t="s">
        <v>115</v>
      </c>
      <c r="E131" s="21" t="s">
        <v>520</v>
      </c>
      <c r="F131" s="21"/>
    </row>
    <row r="132" customFormat="false" ht="21.75" hidden="false" customHeight="true" outlineLevel="0" collapsed="false">
      <c r="A132" s="6" t="n">
        <v>129</v>
      </c>
      <c r="B132" s="6" t="s">
        <v>521</v>
      </c>
      <c r="C132" s="19" t="s">
        <v>522</v>
      </c>
      <c r="D132" s="29" t="s">
        <v>115</v>
      </c>
      <c r="E132" s="6" t="s">
        <v>523</v>
      </c>
      <c r="F132" s="6"/>
    </row>
    <row r="133" customFormat="false" ht="21.75" hidden="false" customHeight="true" outlineLevel="0" collapsed="false">
      <c r="A133" s="21" t="n">
        <v>130</v>
      </c>
      <c r="B133" s="21" t="s">
        <v>150</v>
      </c>
      <c r="C133" s="22" t="s">
        <v>524</v>
      </c>
      <c r="D133" s="29" t="s">
        <v>115</v>
      </c>
      <c r="E133" s="21" t="s">
        <v>525</v>
      </c>
      <c r="F133" s="21"/>
    </row>
    <row r="134" customFormat="false" ht="21.75" hidden="false" customHeight="true" outlineLevel="0" collapsed="false">
      <c r="A134" s="6" t="n">
        <v>131</v>
      </c>
      <c r="B134" s="6" t="s">
        <v>121</v>
      </c>
      <c r="C134" s="19" t="s">
        <v>526</v>
      </c>
      <c r="D134" s="29" t="s">
        <v>115</v>
      </c>
      <c r="E134" s="6" t="s">
        <v>527</v>
      </c>
      <c r="F134" s="6"/>
    </row>
    <row r="135" customFormat="false" ht="21.75" hidden="false" customHeight="true" outlineLevel="0" collapsed="false">
      <c r="A135" s="21" t="n">
        <v>132</v>
      </c>
      <c r="B135" s="21" t="s">
        <v>528</v>
      </c>
      <c r="C135" s="22" t="s">
        <v>529</v>
      </c>
      <c r="D135" s="29" t="s">
        <v>115</v>
      </c>
      <c r="E135" s="21" t="s">
        <v>530</v>
      </c>
      <c r="F135" s="21"/>
    </row>
    <row r="136" customFormat="false" ht="21.75" hidden="false" customHeight="true" outlineLevel="0" collapsed="false">
      <c r="A136" s="6" t="n">
        <v>133</v>
      </c>
      <c r="B136" s="6" t="s">
        <v>108</v>
      </c>
      <c r="C136" s="19" t="s">
        <v>531</v>
      </c>
      <c r="D136" s="29" t="s">
        <v>115</v>
      </c>
      <c r="E136" s="6" t="s">
        <v>532</v>
      </c>
      <c r="F136" s="6"/>
    </row>
    <row r="137" customFormat="false" ht="21.75" hidden="false" customHeight="true" outlineLevel="0" collapsed="false">
      <c r="A137" s="21" t="n">
        <v>134</v>
      </c>
      <c r="B137" s="21" t="s">
        <v>208</v>
      </c>
      <c r="C137" s="22" t="s">
        <v>533</v>
      </c>
      <c r="D137" s="29" t="s">
        <v>115</v>
      </c>
      <c r="E137" s="21" t="s">
        <v>534</v>
      </c>
      <c r="F137" s="21"/>
    </row>
    <row r="138" customFormat="false" ht="21.75" hidden="false" customHeight="true" outlineLevel="0" collapsed="false">
      <c r="A138" s="6" t="n">
        <v>135</v>
      </c>
      <c r="B138" s="6" t="s">
        <v>457</v>
      </c>
      <c r="C138" s="19" t="s">
        <v>535</v>
      </c>
      <c r="D138" s="29" t="s">
        <v>115</v>
      </c>
      <c r="E138" s="6" t="s">
        <v>536</v>
      </c>
      <c r="F138" s="6"/>
    </row>
    <row r="139" customFormat="false" ht="21.75" hidden="false" customHeight="true" outlineLevel="0" collapsed="false">
      <c r="A139" s="21" t="n">
        <v>136</v>
      </c>
      <c r="B139" s="21" t="s">
        <v>537</v>
      </c>
      <c r="C139" s="22" t="s">
        <v>538</v>
      </c>
      <c r="D139" s="29" t="s">
        <v>115</v>
      </c>
      <c r="E139" s="21" t="s">
        <v>539</v>
      </c>
      <c r="F139" s="21"/>
    </row>
    <row r="140" customFormat="false" ht="21.75" hidden="false" customHeight="true" outlineLevel="0" collapsed="false">
      <c r="A140" s="6" t="n">
        <v>137</v>
      </c>
      <c r="B140" s="6" t="s">
        <v>155</v>
      </c>
      <c r="C140" s="19" t="s">
        <v>540</v>
      </c>
      <c r="D140" s="29" t="s">
        <v>115</v>
      </c>
      <c r="E140" s="6" t="s">
        <v>541</v>
      </c>
      <c r="F140" s="6"/>
    </row>
    <row r="141" customFormat="false" ht="21.75" hidden="false" customHeight="true" outlineLevel="0" collapsed="false">
      <c r="A141" s="21" t="n">
        <v>138</v>
      </c>
      <c r="B141" s="21" t="s">
        <v>542</v>
      </c>
      <c r="C141" s="22" t="s">
        <v>543</v>
      </c>
      <c r="D141" s="29" t="s">
        <v>115</v>
      </c>
      <c r="E141" s="21" t="s">
        <v>544</v>
      </c>
      <c r="F141" s="21"/>
    </row>
    <row r="142" customFormat="false" ht="21.75" hidden="false" customHeight="true" outlineLevel="0" collapsed="false">
      <c r="A142" s="6" t="n">
        <v>139</v>
      </c>
      <c r="B142" s="6" t="s">
        <v>545</v>
      </c>
      <c r="C142" s="19" t="s">
        <v>546</v>
      </c>
      <c r="D142" s="29" t="s">
        <v>115</v>
      </c>
      <c r="E142" s="6" t="s">
        <v>547</v>
      </c>
      <c r="F142" s="6"/>
    </row>
    <row r="143" customFormat="false" ht="21.75" hidden="false" customHeight="true" outlineLevel="0" collapsed="false">
      <c r="A143" s="21" t="n">
        <v>140</v>
      </c>
      <c r="B143" s="21" t="s">
        <v>68</v>
      </c>
      <c r="C143" s="22" t="s">
        <v>548</v>
      </c>
      <c r="D143" s="29" t="s">
        <v>115</v>
      </c>
      <c r="E143" s="21" t="s">
        <v>549</v>
      </c>
      <c r="F143" s="21"/>
    </row>
    <row r="144" customFormat="false" ht="21.75" hidden="false" customHeight="true" outlineLevel="0" collapsed="false">
      <c r="A144" s="6" t="n">
        <v>141</v>
      </c>
      <c r="B144" s="6" t="s">
        <v>550</v>
      </c>
      <c r="C144" s="19" t="s">
        <v>551</v>
      </c>
      <c r="D144" s="29" t="s">
        <v>115</v>
      </c>
      <c r="E144" s="6" t="s">
        <v>552</v>
      </c>
      <c r="F144" s="6"/>
    </row>
    <row r="145" customFormat="false" ht="21.75" hidden="false" customHeight="true" outlineLevel="0" collapsed="false">
      <c r="A145" s="21" t="n">
        <v>142</v>
      </c>
      <c r="B145" s="21" t="s">
        <v>553</v>
      </c>
      <c r="C145" s="22" t="s">
        <v>554</v>
      </c>
      <c r="D145" s="30" t="s">
        <v>555</v>
      </c>
      <c r="E145" s="21" t="s">
        <v>556</v>
      </c>
      <c r="F145" s="21"/>
    </row>
    <row r="146" customFormat="false" ht="21.75" hidden="false" customHeight="true" outlineLevel="0" collapsed="false">
      <c r="A146" s="6" t="n">
        <v>143</v>
      </c>
      <c r="B146" s="6" t="s">
        <v>557</v>
      </c>
      <c r="C146" s="19" t="s">
        <v>558</v>
      </c>
      <c r="D146" s="30" t="s">
        <v>555</v>
      </c>
      <c r="E146" s="6" t="s">
        <v>558</v>
      </c>
      <c r="F146" s="6"/>
    </row>
    <row r="147" customFormat="false" ht="21.75" hidden="false" customHeight="true" outlineLevel="0" collapsed="false">
      <c r="A147" s="21" t="n">
        <v>144</v>
      </c>
      <c r="B147" s="21" t="s">
        <v>559</v>
      </c>
      <c r="C147" s="22" t="s">
        <v>560</v>
      </c>
      <c r="D147" s="30" t="s">
        <v>555</v>
      </c>
      <c r="E147" s="21" t="s">
        <v>561</v>
      </c>
      <c r="F147" s="21"/>
    </row>
    <row r="148" customFormat="false" ht="21.75" hidden="false" customHeight="true" outlineLevel="0" collapsed="false">
      <c r="A148" s="6" t="n">
        <v>145</v>
      </c>
      <c r="B148" s="6" t="s">
        <v>562</v>
      </c>
      <c r="C148" s="19" t="s">
        <v>563</v>
      </c>
      <c r="D148" s="30" t="s">
        <v>555</v>
      </c>
      <c r="E148" s="6" t="s">
        <v>564</v>
      </c>
      <c r="F148" s="6"/>
    </row>
    <row r="149" customFormat="false" ht="21.75" hidden="false" customHeight="true" outlineLevel="0" collapsed="false">
      <c r="A149" s="21" t="n">
        <v>146</v>
      </c>
      <c r="B149" s="21" t="s">
        <v>565</v>
      </c>
      <c r="C149" s="22" t="s">
        <v>566</v>
      </c>
      <c r="D149" s="30" t="s">
        <v>555</v>
      </c>
      <c r="E149" s="21" t="s">
        <v>567</v>
      </c>
      <c r="F149" s="21"/>
    </row>
    <row r="150" customFormat="false" ht="21.75" hidden="false" customHeight="true" outlineLevel="0" collapsed="false">
      <c r="A150" s="6" t="n">
        <v>147</v>
      </c>
      <c r="B150" s="6" t="s">
        <v>568</v>
      </c>
      <c r="C150" s="19" t="s">
        <v>569</v>
      </c>
      <c r="D150" s="30" t="s">
        <v>555</v>
      </c>
      <c r="E150" s="6" t="s">
        <v>570</v>
      </c>
      <c r="F150" s="6"/>
    </row>
    <row r="151" customFormat="false" ht="21.75" hidden="false" customHeight="true" outlineLevel="0" collapsed="false">
      <c r="A151" s="21" t="n">
        <v>148</v>
      </c>
      <c r="B151" s="21" t="s">
        <v>571</v>
      </c>
      <c r="C151" s="22" t="s">
        <v>572</v>
      </c>
      <c r="D151" s="30" t="s">
        <v>555</v>
      </c>
      <c r="E151" s="21" t="s">
        <v>573</v>
      </c>
      <c r="F151" s="21"/>
    </row>
    <row r="152" customFormat="false" ht="21.75" hidden="false" customHeight="true" outlineLevel="0" collapsed="false">
      <c r="A152" s="6" t="n">
        <v>149</v>
      </c>
      <c r="B152" s="6" t="s">
        <v>574</v>
      </c>
      <c r="C152" s="19" t="s">
        <v>575</v>
      </c>
      <c r="D152" s="30" t="s">
        <v>555</v>
      </c>
      <c r="E152" s="6" t="s">
        <v>576</v>
      </c>
      <c r="F152" s="6"/>
    </row>
    <row r="153" customFormat="false" ht="21.75" hidden="false" customHeight="true" outlineLevel="0" collapsed="false">
      <c r="A153" s="21" t="n">
        <v>150</v>
      </c>
      <c r="B153" s="21" t="s">
        <v>574</v>
      </c>
      <c r="C153" s="22" t="s">
        <v>577</v>
      </c>
      <c r="D153" s="30" t="s">
        <v>578</v>
      </c>
      <c r="E153" s="21" t="s">
        <v>579</v>
      </c>
      <c r="F153" s="21"/>
    </row>
    <row r="154" customFormat="false" ht="21.75" hidden="false" customHeight="true" outlineLevel="0" collapsed="false">
      <c r="A154" s="6" t="n">
        <v>151</v>
      </c>
      <c r="B154" s="6" t="s">
        <v>580</v>
      </c>
      <c r="C154" s="19" t="s">
        <v>581</v>
      </c>
      <c r="D154" s="30" t="s">
        <v>578</v>
      </c>
      <c r="E154" s="6" t="s">
        <v>582</v>
      </c>
      <c r="F154" s="6"/>
    </row>
    <row r="155" customFormat="false" ht="21.75" hidden="false" customHeight="true" outlineLevel="0" collapsed="false">
      <c r="A155" s="21" t="n">
        <v>152</v>
      </c>
      <c r="B155" s="21" t="s">
        <v>583</v>
      </c>
      <c r="C155" s="22" t="s">
        <v>584</v>
      </c>
      <c r="D155" s="30" t="s">
        <v>578</v>
      </c>
      <c r="E155" s="21" t="s">
        <v>585</v>
      </c>
      <c r="F155" s="21"/>
    </row>
    <row r="156" customFormat="false" ht="21.75" hidden="false" customHeight="true" outlineLevel="0" collapsed="false">
      <c r="A156" s="6" t="n">
        <v>153</v>
      </c>
      <c r="B156" s="6" t="s">
        <v>586</v>
      </c>
      <c r="C156" s="19" t="s">
        <v>587</v>
      </c>
      <c r="D156" s="30" t="s">
        <v>578</v>
      </c>
      <c r="E156" s="6" t="s">
        <v>588</v>
      </c>
      <c r="F156" s="6"/>
    </row>
    <row r="157" customFormat="false" ht="21.75" hidden="false" customHeight="true" outlineLevel="0" collapsed="false">
      <c r="A157" s="21" t="n">
        <v>154</v>
      </c>
      <c r="B157" s="21" t="s">
        <v>407</v>
      </c>
      <c r="C157" s="22" t="s">
        <v>589</v>
      </c>
      <c r="D157" s="30" t="s">
        <v>578</v>
      </c>
      <c r="E157" s="21" t="s">
        <v>590</v>
      </c>
      <c r="F157" s="21"/>
    </row>
    <row r="158" customFormat="false" ht="21.75" hidden="false" customHeight="true" outlineLevel="0" collapsed="false">
      <c r="A158" s="6" t="n">
        <v>155</v>
      </c>
      <c r="B158" s="6" t="s">
        <v>591</v>
      </c>
      <c r="C158" s="19" t="s">
        <v>592</v>
      </c>
      <c r="D158" s="30" t="s">
        <v>578</v>
      </c>
      <c r="E158" s="6" t="s">
        <v>593</v>
      </c>
      <c r="F158" s="6"/>
    </row>
    <row r="159" customFormat="false" ht="21.75" hidden="false" customHeight="true" outlineLevel="0" collapsed="false">
      <c r="A159" s="21" t="n">
        <v>156</v>
      </c>
      <c r="B159" s="21" t="s">
        <v>594</v>
      </c>
      <c r="C159" s="22" t="s">
        <v>595</v>
      </c>
      <c r="D159" s="30" t="s">
        <v>578</v>
      </c>
      <c r="E159" s="21" t="s">
        <v>596</v>
      </c>
      <c r="F159" s="21"/>
    </row>
    <row r="160" customFormat="false" ht="21.75" hidden="false" customHeight="true" outlineLevel="0" collapsed="false">
      <c r="A160" s="6" t="n">
        <v>157</v>
      </c>
      <c r="B160" s="6" t="s">
        <v>597</v>
      </c>
      <c r="C160" s="19" t="s">
        <v>598</v>
      </c>
      <c r="D160" s="31" t="s">
        <v>599</v>
      </c>
      <c r="E160" s="6" t="s">
        <v>600</v>
      </c>
      <c r="F160" s="6"/>
    </row>
    <row r="161" customFormat="false" ht="21.75" hidden="false" customHeight="true" outlineLevel="0" collapsed="false">
      <c r="A161" s="21" t="n">
        <v>158</v>
      </c>
      <c r="B161" s="21" t="s">
        <v>601</v>
      </c>
      <c r="C161" s="22" t="s">
        <v>602</v>
      </c>
      <c r="D161" s="31" t="s">
        <v>599</v>
      </c>
      <c r="E161" s="21" t="s">
        <v>603</v>
      </c>
      <c r="F161" s="21"/>
    </row>
    <row r="162" customFormat="false" ht="21.75" hidden="false" customHeight="true" outlineLevel="0" collapsed="false">
      <c r="A162" s="6" t="n">
        <v>159</v>
      </c>
      <c r="B162" s="6" t="s">
        <v>604</v>
      </c>
      <c r="C162" s="19" t="s">
        <v>605</v>
      </c>
      <c r="D162" s="31" t="s">
        <v>599</v>
      </c>
      <c r="E162" s="6" t="s">
        <v>606</v>
      </c>
      <c r="F162" s="6"/>
    </row>
    <row r="163" customFormat="false" ht="21.75" hidden="false" customHeight="true" outlineLevel="0" collapsed="false">
      <c r="A163" s="21" t="n">
        <v>160</v>
      </c>
      <c r="B163" s="21" t="s">
        <v>607</v>
      </c>
      <c r="C163" s="22" t="s">
        <v>608</v>
      </c>
      <c r="D163" s="31" t="s">
        <v>599</v>
      </c>
      <c r="E163" s="21" t="s">
        <v>609</v>
      </c>
      <c r="F163" s="21"/>
    </row>
    <row r="164" customFormat="false" ht="21.75" hidden="false" customHeight="true" outlineLevel="0" collapsed="false">
      <c r="A164" s="6" t="n">
        <v>161</v>
      </c>
      <c r="B164" s="6" t="s">
        <v>601</v>
      </c>
      <c r="C164" s="19" t="s">
        <v>610</v>
      </c>
      <c r="D164" s="31" t="s">
        <v>599</v>
      </c>
      <c r="E164" s="6" t="s">
        <v>611</v>
      </c>
      <c r="F164" s="6"/>
    </row>
    <row r="165" customFormat="false" ht="21.75" hidden="false" customHeight="true" outlineLevel="0" collapsed="false">
      <c r="A165" s="21" t="n">
        <v>162</v>
      </c>
      <c r="B165" s="21" t="s">
        <v>150</v>
      </c>
      <c r="C165" s="22" t="s">
        <v>612</v>
      </c>
      <c r="D165" s="31" t="s">
        <v>599</v>
      </c>
      <c r="E165" s="21" t="s">
        <v>613</v>
      </c>
      <c r="F165" s="21"/>
    </row>
    <row r="166" customFormat="false" ht="21.75" hidden="false" customHeight="true" outlineLevel="0" collapsed="false">
      <c r="A166" s="6" t="n">
        <v>163</v>
      </c>
      <c r="B166" s="6" t="s">
        <v>150</v>
      </c>
      <c r="C166" s="19" t="s">
        <v>614</v>
      </c>
      <c r="D166" s="31" t="s">
        <v>599</v>
      </c>
      <c r="E166" s="6" t="s">
        <v>615</v>
      </c>
      <c r="F166" s="6"/>
    </row>
    <row r="167" customFormat="false" ht="21.75" hidden="false" customHeight="true" outlineLevel="0" collapsed="false">
      <c r="A167" s="21" t="n">
        <v>164</v>
      </c>
      <c r="B167" s="21" t="s">
        <v>616</v>
      </c>
      <c r="C167" s="22" t="s">
        <v>617</v>
      </c>
      <c r="D167" s="31" t="s">
        <v>599</v>
      </c>
      <c r="E167" s="21" t="s">
        <v>618</v>
      </c>
      <c r="F167" s="21"/>
    </row>
    <row r="168" customFormat="false" ht="21.75" hidden="false" customHeight="true" outlineLevel="0" collapsed="false">
      <c r="A168" s="6" t="n">
        <v>165</v>
      </c>
      <c r="B168" s="6" t="s">
        <v>619</v>
      </c>
      <c r="C168" s="19" t="s">
        <v>620</v>
      </c>
      <c r="D168" s="31" t="s">
        <v>599</v>
      </c>
      <c r="E168" s="6" t="s">
        <v>621</v>
      </c>
      <c r="F168" s="6"/>
    </row>
    <row r="169" customFormat="false" ht="21.75" hidden="false" customHeight="true" outlineLevel="0" collapsed="false">
      <c r="A169" s="21" t="n">
        <v>166</v>
      </c>
      <c r="B169" s="21" t="s">
        <v>622</v>
      </c>
      <c r="C169" s="22" t="s">
        <v>623</v>
      </c>
      <c r="D169" s="31" t="s">
        <v>599</v>
      </c>
      <c r="E169" s="21" t="s">
        <v>624</v>
      </c>
      <c r="F169" s="21"/>
    </row>
    <row r="170" customFormat="false" ht="21.75" hidden="false" customHeight="true" outlineLevel="0" collapsed="false">
      <c r="A170" s="6" t="n">
        <v>167</v>
      </c>
      <c r="B170" s="6" t="s">
        <v>580</v>
      </c>
      <c r="C170" s="19" t="s">
        <v>625</v>
      </c>
      <c r="D170" s="32" t="s">
        <v>71</v>
      </c>
      <c r="E170" s="6" t="s">
        <v>626</v>
      </c>
      <c r="F170" s="6"/>
    </row>
    <row r="171" customFormat="false" ht="21.75" hidden="false" customHeight="true" outlineLevel="0" collapsed="false">
      <c r="A171" s="21" t="n">
        <v>168</v>
      </c>
      <c r="B171" s="21" t="s">
        <v>627</v>
      </c>
      <c r="C171" s="22" t="s">
        <v>628</v>
      </c>
      <c r="D171" s="32" t="s">
        <v>71</v>
      </c>
      <c r="E171" s="21" t="s">
        <v>629</v>
      </c>
      <c r="F171" s="21"/>
    </row>
    <row r="172" customFormat="false" ht="21.75" hidden="false" customHeight="true" outlineLevel="0" collapsed="false">
      <c r="A172" s="6" t="n">
        <v>169</v>
      </c>
      <c r="B172" s="6" t="s">
        <v>407</v>
      </c>
      <c r="C172" s="19" t="s">
        <v>630</v>
      </c>
      <c r="D172" s="32" t="s">
        <v>71</v>
      </c>
      <c r="E172" s="6" t="s">
        <v>631</v>
      </c>
      <c r="F172" s="6"/>
    </row>
    <row r="173" customFormat="false" ht="21.75" hidden="false" customHeight="true" outlineLevel="0" collapsed="false">
      <c r="A173" s="21" t="n">
        <v>170</v>
      </c>
      <c r="B173" s="21" t="s">
        <v>632</v>
      </c>
      <c r="C173" s="22" t="s">
        <v>633</v>
      </c>
      <c r="D173" s="32" t="s">
        <v>71</v>
      </c>
      <c r="E173" s="21" t="s">
        <v>634</v>
      </c>
      <c r="F173" s="21"/>
    </row>
    <row r="174" customFormat="false" ht="21.75" hidden="false" customHeight="true" outlineLevel="0" collapsed="false">
      <c r="A174" s="6" t="n">
        <v>171</v>
      </c>
      <c r="B174" s="6" t="s">
        <v>635</v>
      </c>
      <c r="C174" s="19" t="s">
        <v>636</v>
      </c>
      <c r="D174" s="32" t="s">
        <v>71</v>
      </c>
      <c r="E174" s="6" t="s">
        <v>637</v>
      </c>
      <c r="F174" s="6"/>
    </row>
    <row r="175" customFormat="false" ht="21.75" hidden="false" customHeight="true" outlineLevel="0" collapsed="false">
      <c r="A175" s="21" t="n">
        <v>172</v>
      </c>
      <c r="B175" s="21" t="s">
        <v>638</v>
      </c>
      <c r="C175" s="22" t="s">
        <v>639</v>
      </c>
      <c r="D175" s="32" t="s">
        <v>71</v>
      </c>
      <c r="E175" s="21" t="s">
        <v>640</v>
      </c>
      <c r="F175" s="21"/>
    </row>
    <row r="176" customFormat="false" ht="21.75" hidden="false" customHeight="true" outlineLevel="0" collapsed="false">
      <c r="A176" s="6" t="n">
        <v>173</v>
      </c>
      <c r="B176" s="6" t="s">
        <v>203</v>
      </c>
      <c r="C176" s="19" t="s">
        <v>641</v>
      </c>
      <c r="D176" s="32" t="s">
        <v>71</v>
      </c>
      <c r="E176" s="6" t="s">
        <v>641</v>
      </c>
      <c r="F176" s="6"/>
    </row>
    <row r="177" customFormat="false" ht="21.75" hidden="false" customHeight="true" outlineLevel="0" collapsed="false">
      <c r="A177" s="21" t="n">
        <v>174</v>
      </c>
      <c r="B177" s="21" t="s">
        <v>521</v>
      </c>
      <c r="C177" s="22" t="s">
        <v>642</v>
      </c>
      <c r="D177" s="32" t="s">
        <v>71</v>
      </c>
      <c r="E177" s="21" t="s">
        <v>642</v>
      </c>
      <c r="F177" s="21"/>
    </row>
    <row r="178" customFormat="false" ht="21.75" hidden="false" customHeight="true" outlineLevel="0" collapsed="false">
      <c r="A178" s="6" t="n">
        <v>175</v>
      </c>
      <c r="B178" s="6" t="s">
        <v>616</v>
      </c>
      <c r="C178" s="19" t="s">
        <v>643</v>
      </c>
      <c r="D178" s="32" t="s">
        <v>71</v>
      </c>
      <c r="E178" s="6" t="s">
        <v>644</v>
      </c>
      <c r="F178" s="6"/>
    </row>
    <row r="179" customFormat="false" ht="21.75" hidden="false" customHeight="true" outlineLevel="0" collapsed="false">
      <c r="A179" s="21" t="n">
        <v>176</v>
      </c>
      <c r="B179" s="21" t="s">
        <v>616</v>
      </c>
      <c r="C179" s="22" t="s">
        <v>645</v>
      </c>
      <c r="D179" s="32" t="s">
        <v>71</v>
      </c>
      <c r="E179" s="21" t="s">
        <v>646</v>
      </c>
      <c r="F179" s="21"/>
    </row>
    <row r="180" customFormat="false" ht="21.75" hidden="false" customHeight="true" outlineLevel="0" collapsed="false">
      <c r="A180" s="6" t="n">
        <v>177</v>
      </c>
      <c r="B180" s="6" t="s">
        <v>647</v>
      </c>
      <c r="C180" s="19" t="s">
        <v>648</v>
      </c>
      <c r="D180" s="32" t="s">
        <v>71</v>
      </c>
      <c r="E180" s="6" t="s">
        <v>649</v>
      </c>
      <c r="F180" s="6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209B7"/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20"/>
  </cols>
  <sheetData>
    <row r="1" customFormat="false" ht="42" hidden="false" customHeight="true" outlineLevel="0" collapsed="false">
      <c r="A1" s="33" t="s">
        <v>650</v>
      </c>
      <c r="B1" s="33"/>
      <c r="C1" s="33"/>
      <c r="D1" s="33"/>
      <c r="E1" s="33"/>
      <c r="F1" s="33"/>
    </row>
    <row r="2" customFormat="false" ht="25.5" hidden="false" customHeight="true" outlineLevel="0" collapsed="false">
      <c r="A2" s="34" t="s">
        <v>651</v>
      </c>
      <c r="B2" s="34"/>
      <c r="C2" s="34"/>
      <c r="D2" s="34"/>
      <c r="E2" s="34"/>
      <c r="F2" s="34"/>
    </row>
    <row r="3" customFormat="false" ht="25.5" hidden="false" customHeight="true" outlineLevel="0" collapsed="false">
      <c r="A3" s="18" t="s">
        <v>4</v>
      </c>
      <c r="B3" s="18" t="s">
        <v>5</v>
      </c>
      <c r="C3" s="18" t="s">
        <v>265</v>
      </c>
      <c r="D3" s="18" t="s">
        <v>9</v>
      </c>
      <c r="E3" s="18" t="s">
        <v>652</v>
      </c>
      <c r="F3" s="18" t="s">
        <v>653</v>
      </c>
    </row>
    <row r="4" customFormat="false" ht="25.5" hidden="false" customHeight="true" outlineLevel="0" collapsed="false">
      <c r="A4" s="6" t="n">
        <v>1</v>
      </c>
      <c r="B4" s="6" t="s">
        <v>79</v>
      </c>
      <c r="C4" s="35" t="s">
        <v>80</v>
      </c>
      <c r="D4" s="6" t="s">
        <v>82</v>
      </c>
      <c r="E4" s="36"/>
      <c r="F4" s="37" t="str">
        <f aca="false">IF(E4="","Enter answer",IF(UPPER(E4)="DIE","Correct!","Try again! (DIE)"))</f>
        <v>Enter answer</v>
      </c>
    </row>
    <row r="5" customFormat="false" ht="25.5" hidden="false" customHeight="true" outlineLevel="0" collapsed="false">
      <c r="A5" s="21" t="n">
        <v>2</v>
      </c>
      <c r="B5" s="21" t="s">
        <v>30</v>
      </c>
      <c r="C5" s="38" t="s">
        <v>31</v>
      </c>
      <c r="D5" s="21" t="s">
        <v>33</v>
      </c>
      <c r="E5" s="36"/>
      <c r="F5" s="39" t="str">
        <f aca="false">IF(E5="","Enter answer",IF(UPPER(E5)="DAS","Correct!","Try again! (DAS)"))</f>
        <v>Enter answer</v>
      </c>
    </row>
    <row r="6" customFormat="false" ht="25.5" hidden="false" customHeight="true" outlineLevel="0" collapsed="false">
      <c r="A6" s="6" t="n">
        <v>3</v>
      </c>
      <c r="B6" s="6" t="s">
        <v>155</v>
      </c>
      <c r="C6" s="35" t="s">
        <v>160</v>
      </c>
      <c r="D6" s="6" t="s">
        <v>162</v>
      </c>
      <c r="E6" s="36"/>
      <c r="F6" s="37" t="str">
        <f aca="false">IF(E6="","Enter answer",IF(UPPER(E6)="DIE","Correct!","Try again! (DIE)"))</f>
        <v>Enter answer</v>
      </c>
    </row>
    <row r="7" customFormat="false" ht="25.5" hidden="false" customHeight="true" outlineLevel="0" collapsed="false">
      <c r="A7" s="21" t="n">
        <v>4</v>
      </c>
      <c r="B7" s="21" t="s">
        <v>55</v>
      </c>
      <c r="C7" s="38" t="s">
        <v>59</v>
      </c>
      <c r="D7" s="21" t="s">
        <v>60</v>
      </c>
      <c r="E7" s="36"/>
      <c r="F7" s="39" t="str">
        <f aca="false">IF(E7="","Enter answer",IF(UPPER(E7)="DAS","Correct!","Try again! (DAS)"))</f>
        <v>Enter answer</v>
      </c>
    </row>
    <row r="8" customFormat="false" ht="25.5" hidden="false" customHeight="true" outlineLevel="0" collapsed="false">
      <c r="A8" s="6" t="n">
        <v>5</v>
      </c>
      <c r="B8" s="6" t="s">
        <v>102</v>
      </c>
      <c r="C8" s="35" t="s">
        <v>103</v>
      </c>
      <c r="D8" s="6" t="s">
        <v>105</v>
      </c>
      <c r="E8" s="36"/>
      <c r="F8" s="37" t="str">
        <f aca="false">IF(E8="","Enter answer",IF(UPPER(E8)="DER","Correct!","Try again! (DER)"))</f>
        <v>Enter answer</v>
      </c>
    </row>
    <row r="9" customFormat="false" ht="25.5" hidden="false" customHeight="true" outlineLevel="0" collapsed="false">
      <c r="A9" s="21" t="n">
        <v>6</v>
      </c>
      <c r="B9" s="21" t="s">
        <v>225</v>
      </c>
      <c r="C9" s="38" t="s">
        <v>226</v>
      </c>
      <c r="D9" s="21" t="s">
        <v>228</v>
      </c>
      <c r="E9" s="36"/>
      <c r="F9" s="39" t="str">
        <f aca="false">IF(E9="","Enter answer",IF(UPPER(E9)="DIE","Correct!","Try again! (DIE)"))</f>
        <v>Enter answer</v>
      </c>
    </row>
    <row r="10" customFormat="false" ht="25.5" hidden="false" customHeight="true" outlineLevel="0" collapsed="false">
      <c r="A10" s="6" t="n">
        <v>7</v>
      </c>
      <c r="B10" s="6" t="s">
        <v>19</v>
      </c>
      <c r="C10" s="35" t="s">
        <v>20</v>
      </c>
      <c r="D10" s="6" t="s">
        <v>23</v>
      </c>
      <c r="E10" s="36"/>
      <c r="F10" s="37" t="str">
        <f aca="false">IF(E10="","Enter answer",IF(UPPER(E10)="DAS","Correct!","Try again! (DAS)"))</f>
        <v>Enter answer</v>
      </c>
    </row>
    <row r="11" customFormat="false" ht="25.5" hidden="false" customHeight="true" outlineLevel="0" collapsed="false">
      <c r="A11" s="21" t="n">
        <v>8</v>
      </c>
      <c r="B11" s="21" t="s">
        <v>108</v>
      </c>
      <c r="C11" s="38" t="s">
        <v>164</v>
      </c>
      <c r="D11" s="21" t="s">
        <v>166</v>
      </c>
      <c r="E11" s="36"/>
      <c r="F11" s="39" t="str">
        <f aca="false">IF(E11="","Enter answer",IF(UPPER(E11)="DER","Correct!","Try again! (DER)"))</f>
        <v>Enter answer</v>
      </c>
    </row>
    <row r="12" customFormat="false" ht="25.5" hidden="false" customHeight="true" outlineLevel="0" collapsed="false">
      <c r="A12" s="6" t="n">
        <v>9</v>
      </c>
      <c r="B12" s="6" t="s">
        <v>203</v>
      </c>
      <c r="C12" s="35" t="s">
        <v>204</v>
      </c>
      <c r="D12" s="6" t="s">
        <v>206</v>
      </c>
      <c r="E12" s="36"/>
      <c r="F12" s="37" t="str">
        <f aca="false">IF(E12="","Enter answer",IF(UPPER(E12)="DER","Correct!","Try again! (DER)"))</f>
        <v>Enter answer</v>
      </c>
    </row>
    <row r="13" customFormat="false" ht="25.5" hidden="false" customHeight="true" outlineLevel="0" collapsed="false">
      <c r="A13" s="21" t="n">
        <v>10</v>
      </c>
      <c r="B13" s="21" t="s">
        <v>219</v>
      </c>
      <c r="C13" s="38" t="s">
        <v>220</v>
      </c>
      <c r="D13" s="21" t="s">
        <v>222</v>
      </c>
      <c r="E13" s="36"/>
      <c r="F13" s="39" t="str">
        <f aca="false">IF(E13="","Enter answer",IF(UPPER(E13)="DAS","Correct!","Try again! (DAS)"))</f>
        <v>Enter answer</v>
      </c>
    </row>
    <row r="14" customFormat="false" ht="25.5" hidden="false" customHeight="true" outlineLevel="0" collapsed="false">
      <c r="A14" s="6" t="n">
        <v>11</v>
      </c>
      <c r="B14" s="6" t="s">
        <v>79</v>
      </c>
      <c r="C14" s="35" t="s">
        <v>117</v>
      </c>
      <c r="D14" s="6" t="s">
        <v>119</v>
      </c>
      <c r="E14" s="36"/>
      <c r="F14" s="37" t="str">
        <f aca="false">IF(E14="","Enter answer",IF(UPPER(E14)="DER","Correct!","Try again! (DER)"))</f>
        <v>Enter answer</v>
      </c>
    </row>
    <row r="15" customFormat="false" ht="25.5" hidden="false" customHeight="true" outlineLevel="0" collapsed="false">
      <c r="A15" s="21" t="n">
        <v>12</v>
      </c>
      <c r="B15" s="21" t="s">
        <v>12</v>
      </c>
      <c r="C15" s="38" t="s">
        <v>13</v>
      </c>
      <c r="D15" s="21" t="s">
        <v>16</v>
      </c>
      <c r="E15" s="36"/>
      <c r="F15" s="39" t="str">
        <f aca="false">IF(E15="","Enter answer",IF(UPPER(E15)="DIE","Correct!","Try again! (DIE)"))</f>
        <v>Enter answer</v>
      </c>
    </row>
    <row r="16" customFormat="false" ht="25.5" hidden="false" customHeight="true" outlineLevel="0" collapsed="false">
      <c r="A16" s="6" t="n">
        <v>13</v>
      </c>
      <c r="B16" s="6" t="s">
        <v>127</v>
      </c>
      <c r="C16" s="35" t="s">
        <v>128</v>
      </c>
      <c r="D16" s="6" t="s">
        <v>129</v>
      </c>
      <c r="E16" s="36"/>
      <c r="F16" s="37" t="str">
        <f aca="false">IF(E16="","Enter answer",IF(UPPER(E16)="DER","Correct!","Try again! (DER)"))</f>
        <v>Enter answer</v>
      </c>
    </row>
    <row r="17" customFormat="false" ht="25.5" hidden="false" customHeight="true" outlineLevel="0" collapsed="false">
      <c r="A17" s="21" t="n">
        <v>14</v>
      </c>
      <c r="B17" s="21" t="s">
        <v>155</v>
      </c>
      <c r="C17" s="38" t="s">
        <v>156</v>
      </c>
      <c r="D17" s="21" t="s">
        <v>157</v>
      </c>
      <c r="E17" s="36"/>
      <c r="F17" s="39" t="str">
        <f aca="false">IF(E17="","Enter answer",IF(UPPER(E17)="DER","Correct!","Try again! (DER)"))</f>
        <v>Enter answer</v>
      </c>
    </row>
    <row r="18" customFormat="false" ht="25.5" hidden="false" customHeight="true" outlineLevel="0" collapsed="false">
      <c r="A18" s="6" t="n">
        <v>15</v>
      </c>
      <c r="B18" s="6" t="s">
        <v>50</v>
      </c>
      <c r="C18" s="35" t="s">
        <v>51</v>
      </c>
      <c r="D18" s="6" t="s">
        <v>53</v>
      </c>
      <c r="E18" s="36"/>
      <c r="F18" s="37" t="str">
        <f aca="false">IF(E18="","Enter answer",IF(UPPER(E18)="DIE","Correct!","Try again! (DIE)"))</f>
        <v>Enter answer</v>
      </c>
    </row>
    <row r="19" customFormat="false" ht="25.5" hidden="false" customHeight="true" outlineLevel="0" collapsed="false">
      <c r="A19" s="21" t="n">
        <v>16</v>
      </c>
      <c r="B19" s="21" t="s">
        <v>241</v>
      </c>
      <c r="C19" s="38" t="s">
        <v>242</v>
      </c>
      <c r="D19" s="21" t="s">
        <v>244</v>
      </c>
      <c r="E19" s="36"/>
      <c r="F19" s="39" t="str">
        <f aca="false">IF(E19="","Enter answer",IF(UPPER(E19)="DIE","Correct!","Try again! (DIE)"))</f>
        <v>Enter answer</v>
      </c>
    </row>
    <row r="20" customFormat="false" ht="25.5" hidden="false" customHeight="true" outlineLevel="0" collapsed="false">
      <c r="A20" s="6" t="n">
        <v>17</v>
      </c>
      <c r="B20" s="6" t="s">
        <v>25</v>
      </c>
      <c r="C20" s="35" t="s">
        <v>26</v>
      </c>
      <c r="D20" s="6" t="s">
        <v>28</v>
      </c>
      <c r="E20" s="36"/>
      <c r="F20" s="37" t="str">
        <f aca="false">IF(E20="","Enter answer",IF(UPPER(E20)="DIE","Correct!","Try again! (DIE)"))</f>
        <v>Enter answer</v>
      </c>
    </row>
    <row r="21" customFormat="false" ht="25.5" hidden="false" customHeight="true" outlineLevel="0" collapsed="false">
      <c r="A21" s="21" t="n">
        <v>18</v>
      </c>
      <c r="B21" s="21" t="s">
        <v>62</v>
      </c>
      <c r="C21" s="38" t="s">
        <v>63</v>
      </c>
      <c r="D21" s="21" t="s">
        <v>65</v>
      </c>
      <c r="E21" s="36"/>
      <c r="F21" s="39" t="str">
        <f aca="false">IF(E21="","Enter answer",IF(UPPER(E21)="DIE","Correct!","Try again! (DIE)"))</f>
        <v>Enter answer</v>
      </c>
    </row>
    <row r="22" customFormat="false" ht="25.5" hidden="false" customHeight="true" outlineLevel="0" collapsed="false">
      <c r="A22" s="6" t="n">
        <v>19</v>
      </c>
      <c r="B22" s="6" t="s">
        <v>193</v>
      </c>
      <c r="C22" s="35" t="s">
        <v>194</v>
      </c>
      <c r="D22" s="6" t="s">
        <v>196</v>
      </c>
      <c r="E22" s="36"/>
      <c r="F22" s="37" t="str">
        <f aca="false">IF(E22="","Enter answer",IF(UPPER(E22)="DAS","Correct!","Try again! (DAS)"))</f>
        <v>Enter answer</v>
      </c>
    </row>
    <row r="23" customFormat="false" ht="25.5" hidden="false" customHeight="true" outlineLevel="0" collapsed="false">
      <c r="A23" s="21" t="n">
        <v>20</v>
      </c>
      <c r="B23" s="21" t="s">
        <v>230</v>
      </c>
      <c r="C23" s="38" t="s">
        <v>231</v>
      </c>
      <c r="D23" s="21" t="s">
        <v>233</v>
      </c>
      <c r="E23" s="36"/>
      <c r="F23" s="39" t="str">
        <f aca="false">IF(E23="","Enter answer",IF(UPPER(E23)="DIE","Correct!","Try again! (DIE)"))</f>
        <v>Enter answer</v>
      </c>
    </row>
    <row r="24" customFormat="false" ht="25.5" hidden="false" customHeight="true" outlineLevel="0" collapsed="false">
      <c r="A24" s="6" t="n">
        <v>21</v>
      </c>
      <c r="B24" s="6" t="s">
        <v>35</v>
      </c>
      <c r="C24" s="35" t="s">
        <v>36</v>
      </c>
      <c r="D24" s="6" t="s">
        <v>39</v>
      </c>
      <c r="E24" s="36"/>
      <c r="F24" s="37" t="str">
        <f aca="false">IF(E24="","Enter answer",IF(UPPER(E24)="DER","Correct!","Try again! (DER)"))</f>
        <v>Enter answer</v>
      </c>
    </row>
    <row r="25" customFormat="false" ht="25.5" hidden="false" customHeight="true" outlineLevel="0" collapsed="false">
      <c r="A25" s="21" t="n">
        <v>22</v>
      </c>
      <c r="B25" s="21" t="s">
        <v>150</v>
      </c>
      <c r="C25" s="38" t="s">
        <v>151</v>
      </c>
      <c r="D25" s="21" t="s">
        <v>153</v>
      </c>
      <c r="E25" s="36"/>
      <c r="F25" s="39" t="str">
        <f aca="false">IF(E25="","Enter answer",IF(UPPER(E25)="DIE","Correct!","Try again! (DIE)"))</f>
        <v>Enter answer</v>
      </c>
    </row>
    <row r="26" customFormat="false" ht="25.5" hidden="false" customHeight="true" outlineLevel="0" collapsed="false">
      <c r="A26" s="6" t="n">
        <v>23</v>
      </c>
      <c r="B26" s="6" t="s">
        <v>121</v>
      </c>
      <c r="C26" s="35" t="s">
        <v>122</v>
      </c>
      <c r="D26" s="6" t="s">
        <v>124</v>
      </c>
      <c r="E26" s="36"/>
      <c r="F26" s="37" t="str">
        <f aca="false">IF(E26="","Enter answer",IF(UPPER(E26)="DIE","Correct!","Try again! (DIE)"))</f>
        <v>Enter answer</v>
      </c>
    </row>
    <row r="27" customFormat="false" ht="25.5" hidden="false" customHeight="true" outlineLevel="0" collapsed="false">
      <c r="A27" s="21" t="n">
        <v>24</v>
      </c>
      <c r="B27" s="21" t="s">
        <v>175</v>
      </c>
      <c r="C27" s="38" t="s">
        <v>176</v>
      </c>
      <c r="D27" s="21" t="s">
        <v>178</v>
      </c>
      <c r="E27" s="36"/>
      <c r="F27" s="39" t="str">
        <f aca="false">IF(E27="","Enter answer",IF(UPPER(E27)="DIE","Correct!","Try again! (DIE)"))</f>
        <v>Enter answer</v>
      </c>
    </row>
    <row r="28" customFormat="false" ht="25.5" hidden="false" customHeight="true" outlineLevel="0" collapsed="false">
      <c r="A28" s="6" t="n">
        <v>25</v>
      </c>
      <c r="B28" s="6" t="s">
        <v>236</v>
      </c>
      <c r="C28" s="35" t="s">
        <v>237</v>
      </c>
      <c r="D28" s="6" t="s">
        <v>239</v>
      </c>
      <c r="E28" s="36"/>
      <c r="F28" s="37" t="str">
        <f aca="false">IF(E28="","Enter answer",IF(UPPER(E28)="DER","Correct!","Try again! (DER)"))</f>
        <v>Enter answer</v>
      </c>
    </row>
    <row r="29" customFormat="false" ht="25.5" hidden="false" customHeight="true" outlineLevel="0" collapsed="false">
      <c r="A29" s="21" t="n">
        <v>26</v>
      </c>
      <c r="B29" s="21" t="s">
        <v>198</v>
      </c>
      <c r="C29" s="38" t="s">
        <v>199</v>
      </c>
      <c r="D29" s="21" t="s">
        <v>201</v>
      </c>
      <c r="E29" s="36"/>
      <c r="F29" s="39" t="str">
        <f aca="false">IF(E29="","Enter answer",IF(UPPER(E29)="DER","Correct!","Try again! (DER)"))</f>
        <v>Enter answer</v>
      </c>
    </row>
    <row r="30" customFormat="false" ht="25.5" hidden="false" customHeight="true" outlineLevel="0" collapsed="false">
      <c r="A30" s="6" t="n">
        <v>27</v>
      </c>
      <c r="B30" s="6" t="s">
        <v>150</v>
      </c>
      <c r="C30" s="35" t="s">
        <v>255</v>
      </c>
      <c r="D30" s="6" t="s">
        <v>257</v>
      </c>
      <c r="E30" s="36"/>
      <c r="F30" s="37" t="str">
        <f aca="false">IF(E30="","Enter answer",IF(UPPER(E30)="DAS","Correct!","Try again! (DAS)"))</f>
        <v>Enter answer</v>
      </c>
    </row>
    <row r="31" customFormat="false" ht="25.5" hidden="false" customHeight="true" outlineLevel="0" collapsed="false">
      <c r="A31" s="21" t="n">
        <v>28</v>
      </c>
      <c r="B31" s="21" t="s">
        <v>45</v>
      </c>
      <c r="C31" s="38" t="s">
        <v>46</v>
      </c>
      <c r="D31" s="21" t="s">
        <v>48</v>
      </c>
      <c r="E31" s="36"/>
      <c r="F31" s="39" t="str">
        <f aca="false">IF(E31="","Enter answer",IF(UPPER(E31)="DER","Correct!","Try again! (DER)"))</f>
        <v>Enter answer</v>
      </c>
    </row>
    <row r="32" customFormat="false" ht="25.5" hidden="false" customHeight="true" outlineLevel="0" collapsed="false">
      <c r="A32" s="6" t="n">
        <v>29</v>
      </c>
      <c r="B32" s="6" t="s">
        <v>108</v>
      </c>
      <c r="C32" s="35" t="s">
        <v>109</v>
      </c>
      <c r="D32" s="6" t="s">
        <v>110</v>
      </c>
      <c r="E32" s="36"/>
      <c r="F32" s="37" t="str">
        <f aca="false">IF(E32="","Enter answer",IF(UPPER(E32)="DAS","Correct!","Try again! (DAS)"))</f>
        <v>Enter answer</v>
      </c>
    </row>
    <row r="33" customFormat="false" ht="25.5" hidden="false" customHeight="true" outlineLevel="0" collapsed="false">
      <c r="A33" s="21" t="n">
        <v>30</v>
      </c>
      <c r="B33" s="21" t="s">
        <v>112</v>
      </c>
      <c r="C33" s="38" t="s">
        <v>113</v>
      </c>
      <c r="D33" s="21" t="s">
        <v>115</v>
      </c>
      <c r="E33" s="36"/>
      <c r="F33" s="39" t="str">
        <f aca="false">IF(E33="","Enter answer",IF(UPPER(E33)="DAS","Correct!","Try again! (DAS)"))</f>
        <v>Enter answer</v>
      </c>
    </row>
    <row r="34" customFormat="false" ht="25.5" hidden="false" customHeight="true" outlineLevel="0" collapsed="false">
      <c r="A34" s="6" t="n">
        <v>31</v>
      </c>
      <c r="B34" s="6" t="s">
        <v>127</v>
      </c>
      <c r="C34" s="35" t="s">
        <v>131</v>
      </c>
      <c r="D34" s="6" t="s">
        <v>133</v>
      </c>
      <c r="E34" s="36"/>
      <c r="F34" s="37" t="str">
        <f aca="false">IF(E34="","Enter answer",IF(UPPER(E34)="DIE","Correct!","Try again! (DIE)"))</f>
        <v>Enter answer</v>
      </c>
    </row>
    <row r="35" customFormat="false" ht="25.5" hidden="false" customHeight="true" outlineLevel="0" collapsed="false">
      <c r="A35" s="21" t="n">
        <v>32</v>
      </c>
      <c r="B35" s="21" t="s">
        <v>145</v>
      </c>
      <c r="C35" s="38" t="s">
        <v>146</v>
      </c>
      <c r="D35" s="21" t="s">
        <v>148</v>
      </c>
      <c r="E35" s="36"/>
      <c r="F35" s="39" t="str">
        <f aca="false">IF(E35="","Enter answer",IF(UPPER(E35)="DAS","Correct!","Try again! (DAS)"))</f>
        <v>Enter answer</v>
      </c>
    </row>
    <row r="36" customFormat="false" ht="25.5" hidden="false" customHeight="true" outlineLevel="0" collapsed="false">
      <c r="A36" s="6" t="n">
        <v>33</v>
      </c>
      <c r="B36" s="6" t="s">
        <v>62</v>
      </c>
      <c r="C36" s="35" t="s">
        <v>247</v>
      </c>
      <c r="D36" s="6" t="s">
        <v>248</v>
      </c>
      <c r="E36" s="36"/>
      <c r="F36" s="37" t="str">
        <f aca="false">IF(E36="","Enter answer",IF(UPPER(E36)="DAS","Correct!","Try again! (DAS)"))</f>
        <v>Enter answer</v>
      </c>
    </row>
    <row r="37" customFormat="false" ht="25.5" hidden="false" customHeight="true" outlineLevel="0" collapsed="false">
      <c r="A37" s="21" t="n">
        <v>34</v>
      </c>
      <c r="B37" s="21" t="s">
        <v>169</v>
      </c>
      <c r="C37" s="38" t="s">
        <v>170</v>
      </c>
      <c r="D37" s="21" t="s">
        <v>172</v>
      </c>
      <c r="E37" s="36"/>
      <c r="F37" s="39" t="str">
        <f aca="false">IF(E37="","Enter answer",IF(UPPER(E37)="DIE","Correct!","Try again! (DIE)"))</f>
        <v>Enter answer</v>
      </c>
    </row>
    <row r="38" customFormat="false" ht="25.5" hidden="false" customHeight="true" outlineLevel="0" collapsed="false">
      <c r="A38" s="6" t="n">
        <v>35</v>
      </c>
      <c r="B38" s="6" t="s">
        <v>214</v>
      </c>
      <c r="C38" s="35" t="s">
        <v>215</v>
      </c>
      <c r="D38" s="6" t="s">
        <v>217</v>
      </c>
      <c r="E38" s="36"/>
      <c r="F38" s="37" t="str">
        <f aca="false">IF(E38="","Enter answer",IF(UPPER(E38)="DIE","Correct!","Try again! (DIE)"))</f>
        <v>Enter answer</v>
      </c>
    </row>
    <row r="39" customFormat="false" ht="25.5" hidden="false" customHeight="true" outlineLevel="0" collapsed="false">
      <c r="A39" s="21" t="n">
        <v>36</v>
      </c>
      <c r="B39" s="21" t="s">
        <v>187</v>
      </c>
      <c r="C39" s="38" t="s">
        <v>188</v>
      </c>
      <c r="D39" s="21" t="s">
        <v>190</v>
      </c>
      <c r="E39" s="36"/>
      <c r="F39" s="39" t="str">
        <f aca="false">IF(E39="","Enter answer",IF(UPPER(E39)="DIE","Correct!","Try again! (DIE)"))</f>
        <v>Enter answer</v>
      </c>
    </row>
    <row r="40" customFormat="false" ht="25.5" hidden="false" customHeight="true" outlineLevel="0" collapsed="false">
      <c r="A40" s="6" t="n">
        <v>37</v>
      </c>
      <c r="B40" s="6" t="s">
        <v>181</v>
      </c>
      <c r="C40" s="35" t="s">
        <v>182</v>
      </c>
      <c r="D40" s="6" t="s">
        <v>184</v>
      </c>
      <c r="E40" s="36"/>
      <c r="F40" s="37" t="str">
        <f aca="false">IF(E40="","Enter answer",IF(UPPER(E40)="DAS","Correct!","Try again! (DAS)"))</f>
        <v>Enter answer</v>
      </c>
    </row>
    <row r="41" customFormat="false" ht="25.5" hidden="false" customHeight="true" outlineLevel="0" collapsed="false">
      <c r="A41" s="21" t="n">
        <v>38</v>
      </c>
      <c r="B41" s="21" t="s">
        <v>250</v>
      </c>
      <c r="C41" s="38" t="s">
        <v>251</v>
      </c>
      <c r="D41" s="21" t="s">
        <v>253</v>
      </c>
      <c r="E41" s="36"/>
      <c r="F41" s="39" t="str">
        <f aca="false">IF(E41="","Enter answer",IF(UPPER(E41)="DAS","Correct!","Try again! (DAS)"))</f>
        <v>Enter answer</v>
      </c>
    </row>
    <row r="42" customFormat="false" ht="25.5" hidden="false" customHeight="true" outlineLevel="0" collapsed="false">
      <c r="A42" s="6" t="n">
        <v>39</v>
      </c>
      <c r="B42" s="6" t="s">
        <v>96</v>
      </c>
      <c r="C42" s="35" t="s">
        <v>97</v>
      </c>
      <c r="D42" s="6" t="s">
        <v>99</v>
      </c>
      <c r="E42" s="36"/>
      <c r="F42" s="37" t="str">
        <f aca="false">IF(E42="","Enter answer",IF(UPPER(E42)="DAS","Correct!","Try again! (DAS)"))</f>
        <v>Enter answer</v>
      </c>
    </row>
    <row r="43" customFormat="false" ht="25.5" hidden="false" customHeight="true" outlineLevel="0" collapsed="false">
      <c r="A43" s="21" t="n">
        <v>40</v>
      </c>
      <c r="B43" s="21" t="s">
        <v>41</v>
      </c>
      <c r="C43" s="38" t="s">
        <v>42</v>
      </c>
      <c r="D43" s="21" t="s">
        <v>43</v>
      </c>
      <c r="E43" s="36"/>
      <c r="F43" s="39" t="str">
        <f aca="false">IF(E43="","Enter answer",IF(UPPER(E43)="DER","Correct!","Try again! (DER)"))</f>
        <v>Enter answer</v>
      </c>
    </row>
    <row r="44" customFormat="false" ht="25.5" hidden="false" customHeight="true" outlineLevel="0" collapsed="false">
      <c r="A44" s="6" t="n">
        <v>41</v>
      </c>
      <c r="B44" s="6" t="s">
        <v>55</v>
      </c>
      <c r="C44" s="35" t="s">
        <v>56</v>
      </c>
      <c r="D44" s="6" t="s">
        <v>57</v>
      </c>
      <c r="E44" s="36"/>
      <c r="F44" s="37" t="str">
        <f aca="false">IF(E44="","Enter answer",IF(UPPER(E44)="DAS","Correct!","Try again! (DAS)"))</f>
        <v>Enter answer</v>
      </c>
    </row>
    <row r="45" customFormat="false" ht="25.5" hidden="false" customHeight="true" outlineLevel="0" collapsed="false">
      <c r="A45" s="21" t="n">
        <v>42</v>
      </c>
      <c r="B45" s="21" t="s">
        <v>90</v>
      </c>
      <c r="C45" s="38" t="s">
        <v>91</v>
      </c>
      <c r="D45" s="21" t="s">
        <v>93</v>
      </c>
      <c r="E45" s="36"/>
      <c r="F45" s="39" t="str">
        <f aca="false">IF(E45="","Enter answer",IF(UPPER(E45)="DER","Correct!","Try again! (DER)"))</f>
        <v>Enter answer</v>
      </c>
    </row>
    <row r="46" customFormat="false" ht="25.5" hidden="false" customHeight="true" outlineLevel="0" collapsed="false">
      <c r="A46" s="6" t="n">
        <v>43</v>
      </c>
      <c r="B46" s="6" t="s">
        <v>84</v>
      </c>
      <c r="C46" s="35" t="s">
        <v>85</v>
      </c>
      <c r="D46" s="6" t="s">
        <v>87</v>
      </c>
      <c r="E46" s="36"/>
      <c r="F46" s="37" t="str">
        <f aca="false">IF(E46="","Enter answer",IF(UPPER(E46)="DIE","Correct!","Try again! (DIE)"))</f>
        <v>Enter answer</v>
      </c>
    </row>
    <row r="47" customFormat="false" ht="25.5" hidden="false" customHeight="true" outlineLevel="0" collapsed="false">
      <c r="A47" s="21" t="n">
        <v>44</v>
      </c>
      <c r="B47" s="21" t="s">
        <v>68</v>
      </c>
      <c r="C47" s="38" t="s">
        <v>69</v>
      </c>
      <c r="D47" s="21" t="s">
        <v>71</v>
      </c>
      <c r="E47" s="36"/>
      <c r="F47" s="39" t="str">
        <f aca="false">IF(E47="","Enter answer",IF(UPPER(E47)="DAS","Correct!","Try again! (DAS)"))</f>
        <v>Enter answer</v>
      </c>
    </row>
    <row r="48" customFormat="false" ht="25.5" hidden="false" customHeight="true" outlineLevel="0" collapsed="false">
      <c r="A48" s="6" t="n">
        <v>45</v>
      </c>
      <c r="B48" s="6" t="s">
        <v>208</v>
      </c>
      <c r="C48" s="35" t="s">
        <v>209</v>
      </c>
      <c r="D48" s="6" t="s">
        <v>211</v>
      </c>
      <c r="E48" s="36"/>
      <c r="F48" s="37" t="str">
        <f aca="false">IF(E48="","Enter answer",IF(UPPER(E48)="DER","Correct!","Try again! (DER)"))</f>
        <v>Enter answer</v>
      </c>
    </row>
    <row r="49" customFormat="false" ht="25.5" hidden="false" customHeight="true" outlineLevel="0" collapsed="false">
      <c r="A49" s="21" t="n">
        <v>46</v>
      </c>
      <c r="B49" s="21" t="s">
        <v>73</v>
      </c>
      <c r="C49" s="38" t="s">
        <v>74</v>
      </c>
      <c r="D49" s="21" t="s">
        <v>76</v>
      </c>
      <c r="E49" s="36"/>
      <c r="F49" s="39" t="str">
        <f aca="false">IF(E49="","Enter answer",IF(UPPER(E49)="DIE","Correct!","Try again! (DIE)"))</f>
        <v>Enter answer</v>
      </c>
    </row>
    <row r="50" customFormat="false" ht="25.5" hidden="false" customHeight="true" outlineLevel="0" collapsed="false">
      <c r="A50" s="6" t="n">
        <v>47</v>
      </c>
      <c r="B50" s="6" t="s">
        <v>135</v>
      </c>
      <c r="C50" s="35" t="s">
        <v>136</v>
      </c>
      <c r="D50" s="6" t="s">
        <v>138</v>
      </c>
      <c r="E50" s="36"/>
      <c r="F50" s="37" t="str">
        <f aca="false">IF(E50="","Enter answer",IF(UPPER(E50)="DAS","Correct!","Try again! (DAS)"))</f>
        <v>Enter answer</v>
      </c>
    </row>
    <row r="51" customFormat="false" ht="25.5" hidden="false" customHeight="true" outlineLevel="0" collapsed="false">
      <c r="A51" s="21" t="n">
        <v>48</v>
      </c>
      <c r="B51" s="21" t="s">
        <v>62</v>
      </c>
      <c r="C51" s="38" t="s">
        <v>140</v>
      </c>
      <c r="D51" s="21" t="s">
        <v>142</v>
      </c>
      <c r="E51" s="36"/>
      <c r="F51" s="39" t="str">
        <f aca="false">IF(E51="","Enter answer",IF(UPPER(E51)="DER","Correct!","Try again! (DER)"))</f>
        <v>Enter answer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722C"/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22"/>
  </cols>
  <sheetData>
    <row r="1" customFormat="false" ht="42" hidden="false" customHeight="true" outlineLevel="0" collapsed="false">
      <c r="A1" s="40" t="s">
        <v>654</v>
      </c>
      <c r="B1" s="40"/>
      <c r="C1" s="40"/>
      <c r="D1" s="40"/>
      <c r="E1" s="40"/>
      <c r="F1" s="40"/>
    </row>
    <row r="2" customFormat="false" ht="25.5" hidden="false" customHeight="true" outlineLevel="0" collapsed="false">
      <c r="A2" s="41" t="s">
        <v>655</v>
      </c>
      <c r="B2" s="41"/>
      <c r="C2" s="41"/>
      <c r="D2" s="41"/>
      <c r="E2" s="41"/>
      <c r="F2" s="41"/>
    </row>
    <row r="3" customFormat="false" ht="25.5" hidden="false" customHeight="true" outlineLevel="0" collapsed="false">
      <c r="A3" s="18" t="s">
        <v>4</v>
      </c>
      <c r="B3" s="18" t="s">
        <v>5</v>
      </c>
      <c r="C3" s="18" t="s">
        <v>656</v>
      </c>
      <c r="D3" s="18" t="s">
        <v>7</v>
      </c>
      <c r="E3" s="18" t="s">
        <v>657</v>
      </c>
      <c r="F3" s="18" t="s">
        <v>653</v>
      </c>
    </row>
    <row r="4" customFormat="false" ht="25.5" hidden="false" customHeight="true" outlineLevel="0" collapsed="false">
      <c r="A4" s="6" t="n">
        <v>1</v>
      </c>
      <c r="B4" s="6" t="s">
        <v>12</v>
      </c>
      <c r="C4" s="35" t="s">
        <v>13</v>
      </c>
      <c r="D4" s="42" t="s">
        <v>14</v>
      </c>
      <c r="E4" s="36"/>
      <c r="F4" s="37" t="str">
        <f aca="false">IF(E4="","Type plural",IF(LOWER(E4)=LOWER("Autobahnen"),"Correct!","Answer: Autobahnen"))</f>
        <v>Type plural</v>
      </c>
    </row>
    <row r="5" customFormat="false" ht="25.5" hidden="false" customHeight="true" outlineLevel="0" collapsed="false">
      <c r="A5" s="21" t="n">
        <v>2</v>
      </c>
      <c r="B5" s="21" t="s">
        <v>19</v>
      </c>
      <c r="C5" s="38" t="s">
        <v>20</v>
      </c>
      <c r="D5" s="43" t="s">
        <v>21</v>
      </c>
      <c r="E5" s="36"/>
      <c r="F5" s="39" t="str">
        <f aca="false">IF(E5="","Type plural",IF(LOWER(E5)=LOWER("Butterbrote"),"Correct!","Answer: Butterbrote"))</f>
        <v>Type plural</v>
      </c>
    </row>
    <row r="6" customFormat="false" ht="25.5" hidden="false" customHeight="true" outlineLevel="0" collapsed="false">
      <c r="A6" s="6" t="n">
        <v>3</v>
      </c>
      <c r="B6" s="6" t="s">
        <v>25</v>
      </c>
      <c r="C6" s="35" t="s">
        <v>26</v>
      </c>
      <c r="D6" s="42" t="s">
        <v>14</v>
      </c>
      <c r="E6" s="36"/>
      <c r="F6" s="37" t="str">
        <f aca="false">IF(E6="","Type plural",IF(LOWER(E6)=LOWER("Flaschen"),"Correct!","Answer: Flaschen"))</f>
        <v>Type plural</v>
      </c>
    </row>
    <row r="7" customFormat="false" ht="25.5" hidden="false" customHeight="true" outlineLevel="0" collapsed="false">
      <c r="A7" s="21" t="n">
        <v>4</v>
      </c>
      <c r="B7" s="21" t="s">
        <v>30</v>
      </c>
      <c r="C7" s="38" t="s">
        <v>31</v>
      </c>
      <c r="D7" s="43" t="s">
        <v>21</v>
      </c>
      <c r="E7" s="36"/>
      <c r="F7" s="39" t="str">
        <f aca="false">IF(E7="","Type plural",IF(LOWER(E7)=LOWER("Handtuecher"),"Correct!","Answer: Handtuecher"))</f>
        <v>Type plural</v>
      </c>
    </row>
    <row r="8" customFormat="false" ht="25.5" hidden="false" customHeight="true" outlineLevel="0" collapsed="false">
      <c r="A8" s="6" t="n">
        <v>5</v>
      </c>
      <c r="B8" s="6" t="s">
        <v>35</v>
      </c>
      <c r="C8" s="35" t="s">
        <v>36</v>
      </c>
      <c r="D8" s="44" t="s">
        <v>37</v>
      </c>
      <c r="E8" s="36"/>
      <c r="F8" s="37" t="str">
        <f aca="false">IF(E8="","Type plural",IF(LOWER(E8)=LOWER("Kindergaerten"),"Correct!","Answer: Kindergaerten"))</f>
        <v>Type plural</v>
      </c>
    </row>
    <row r="9" customFormat="false" ht="25.5" hidden="false" customHeight="true" outlineLevel="0" collapsed="false">
      <c r="A9" s="21" t="n">
        <v>6</v>
      </c>
      <c r="B9" s="21" t="s">
        <v>41</v>
      </c>
      <c r="C9" s="38" t="s">
        <v>42</v>
      </c>
      <c r="D9" s="44" t="s">
        <v>37</v>
      </c>
      <c r="E9" s="36"/>
      <c r="F9" s="39" t="str">
        <f aca="false">IF(E9="","Type plural",IF(LOWER(E9)=LOWER("Koffer"),"Correct!","Answer: Koffer"))</f>
        <v>Type plural</v>
      </c>
    </row>
    <row r="10" customFormat="false" ht="25.5" hidden="false" customHeight="true" outlineLevel="0" collapsed="false">
      <c r="A10" s="6" t="n">
        <v>7</v>
      </c>
      <c r="B10" s="6" t="s">
        <v>45</v>
      </c>
      <c r="C10" s="35" t="s">
        <v>46</v>
      </c>
      <c r="D10" s="44" t="s">
        <v>37</v>
      </c>
      <c r="E10" s="36"/>
      <c r="F10" s="37" t="str">
        <f aca="false">IF(E10="","Type plural",IF(LOWER(E10)=LOWER("Kranken"),"Correct!","Answer: Kranken"))</f>
        <v>Type plural</v>
      </c>
    </row>
    <row r="11" customFormat="false" ht="25.5" hidden="false" customHeight="true" outlineLevel="0" collapsed="false">
      <c r="A11" s="21" t="n">
        <v>8</v>
      </c>
      <c r="B11" s="21" t="s">
        <v>50</v>
      </c>
      <c r="C11" s="38" t="s">
        <v>51</v>
      </c>
      <c r="D11" s="42" t="s">
        <v>14</v>
      </c>
      <c r="E11" s="36"/>
      <c r="F11" s="39" t="str">
        <f aca="false">IF(E11="","Type plural",IF(LOWER(E11)=LOWER("Nudeln"),"Correct!","Answer: Nudeln"))</f>
        <v>Type plural</v>
      </c>
    </row>
    <row r="12" customFormat="false" ht="25.5" hidden="false" customHeight="true" outlineLevel="0" collapsed="false">
      <c r="A12" s="6" t="n">
        <v>9</v>
      </c>
      <c r="B12" s="6" t="s">
        <v>55</v>
      </c>
      <c r="C12" s="35" t="s">
        <v>56</v>
      </c>
      <c r="D12" s="43" t="s">
        <v>21</v>
      </c>
      <c r="E12" s="36"/>
      <c r="F12" s="37" t="str">
        <f aca="false">IF(E12="","Type plural",IF(LOWER(E12)=LOWER("Wuerstchen"),"Correct!","Answer: Wuerstchen"))</f>
        <v>Type plural</v>
      </c>
    </row>
    <row r="13" customFormat="false" ht="25.5" hidden="false" customHeight="true" outlineLevel="0" collapsed="false">
      <c r="A13" s="21" t="n">
        <v>10</v>
      </c>
      <c r="B13" s="21" t="s">
        <v>55</v>
      </c>
      <c r="C13" s="38" t="s">
        <v>59</v>
      </c>
      <c r="D13" s="43" t="s">
        <v>21</v>
      </c>
      <c r="E13" s="36"/>
      <c r="F13" s="39" t="str">
        <f aca="false">IF(E13="","Type plural",IF(LOWER(E13)=LOWER("Wurstel"),"Correct!","Answer: Wurstel"))</f>
        <v>Type plural</v>
      </c>
    </row>
    <row r="14" customFormat="false" ht="25.5" hidden="false" customHeight="true" outlineLevel="0" collapsed="false">
      <c r="A14" s="6" t="n">
        <v>11</v>
      </c>
      <c r="B14" s="6" t="s">
        <v>62</v>
      </c>
      <c r="C14" s="35" t="s">
        <v>63</v>
      </c>
      <c r="D14" s="42" t="s">
        <v>14</v>
      </c>
      <c r="E14" s="36"/>
      <c r="F14" s="37" t="str">
        <f aca="false">IF(E14="","Type plural",IF(LOWER(E14)=LOWER("Sprachen"),"Correct!","Answer: Sprachen"))</f>
        <v>Type plural</v>
      </c>
    </row>
    <row r="15" customFormat="false" ht="25.5" hidden="false" customHeight="true" outlineLevel="0" collapsed="false">
      <c r="A15" s="21" t="n">
        <v>12</v>
      </c>
      <c r="B15" s="21" t="s">
        <v>68</v>
      </c>
      <c r="C15" s="38" t="s">
        <v>69</v>
      </c>
      <c r="D15" s="43" t="s">
        <v>21</v>
      </c>
      <c r="E15" s="36"/>
      <c r="F15" s="39" t="str">
        <f aca="false">IF(E15="","Type plural",IF(LOWER(E15)=LOWER("Woerter"),"Correct!","Answer: Woerter"))</f>
        <v>Type plural</v>
      </c>
    </row>
    <row r="16" customFormat="false" ht="25.5" hidden="false" customHeight="true" outlineLevel="0" collapsed="false">
      <c r="A16" s="6" t="n">
        <v>13</v>
      </c>
      <c r="B16" s="6" t="s">
        <v>73</v>
      </c>
      <c r="C16" s="35" t="s">
        <v>74</v>
      </c>
      <c r="D16" s="42" t="s">
        <v>14</v>
      </c>
      <c r="E16" s="36"/>
      <c r="F16" s="37" t="str">
        <f aca="false">IF(E16="","Type plural",IF(LOWER(E16)=LOWER("Entschuldigungen"),"Correct!","Answer: Entschuldigungen"))</f>
        <v>Type plural</v>
      </c>
    </row>
    <row r="17" customFormat="false" ht="25.5" hidden="false" customHeight="true" outlineLevel="0" collapsed="false">
      <c r="A17" s="21" t="n">
        <v>14</v>
      </c>
      <c r="B17" s="21" t="s">
        <v>79</v>
      </c>
      <c r="C17" s="38" t="s">
        <v>80</v>
      </c>
      <c r="D17" s="42" t="s">
        <v>14</v>
      </c>
      <c r="E17" s="36"/>
      <c r="F17" s="39" t="str">
        <f aca="false">IF(E17="","Type plural",IF(LOWER(E17)=LOWER("Personen"),"Correct!","Answer: Personen"))</f>
        <v>Type plural</v>
      </c>
    </row>
    <row r="18" customFormat="false" ht="25.5" hidden="false" customHeight="true" outlineLevel="0" collapsed="false">
      <c r="A18" s="6" t="n">
        <v>15</v>
      </c>
      <c r="B18" s="6" t="s">
        <v>84</v>
      </c>
      <c r="C18" s="35" t="s">
        <v>85</v>
      </c>
      <c r="D18" s="42" t="s">
        <v>14</v>
      </c>
      <c r="E18" s="36"/>
      <c r="F18" s="37" t="str">
        <f aca="false">IF(E18="","Type plural",IF(LOWER(E18)=LOWER("Situationen"),"Correct!","Answer: Situationen"))</f>
        <v>Type plural</v>
      </c>
    </row>
    <row r="19" customFormat="false" ht="25.5" hidden="false" customHeight="true" outlineLevel="0" collapsed="false">
      <c r="A19" s="21" t="n">
        <v>16</v>
      </c>
      <c r="B19" s="21" t="s">
        <v>90</v>
      </c>
      <c r="C19" s="38" t="s">
        <v>91</v>
      </c>
      <c r="D19" s="44" t="s">
        <v>37</v>
      </c>
      <c r="E19" s="36"/>
      <c r="F19" s="39" t="str">
        <f aca="false">IF(E19="","Type plural",IF(LOWER(E19)=LOWER("Namen"),"Correct!","Answer: Namen"))</f>
        <v>Type plural</v>
      </c>
    </row>
    <row r="20" customFormat="false" ht="25.5" hidden="false" customHeight="true" outlineLevel="0" collapsed="false">
      <c r="A20" s="6" t="n">
        <v>17</v>
      </c>
      <c r="B20" s="6" t="s">
        <v>96</v>
      </c>
      <c r="C20" s="35" t="s">
        <v>97</v>
      </c>
      <c r="D20" s="43" t="s">
        <v>21</v>
      </c>
      <c r="E20" s="36"/>
      <c r="F20" s="37" t="str">
        <f aca="false">IF(E20="","Type plural",IF(LOWER(E20)=LOWER("Kursplakate"),"Correct!","Answer: Kursplakate"))</f>
        <v>Type plural</v>
      </c>
    </row>
    <row r="21" customFormat="false" ht="25.5" hidden="false" customHeight="true" outlineLevel="0" collapsed="false">
      <c r="A21" s="21" t="n">
        <v>18</v>
      </c>
      <c r="B21" s="21" t="s">
        <v>102</v>
      </c>
      <c r="C21" s="38" t="s">
        <v>103</v>
      </c>
      <c r="D21" s="44" t="s">
        <v>37</v>
      </c>
      <c r="E21" s="36"/>
      <c r="F21" s="39" t="str">
        <f aca="false">IF(E21="","Type plural",IF(LOWER(E21)=LOWER("Nachnamen"),"Correct!","Answer: Nachnamen"))</f>
        <v>Type plural</v>
      </c>
    </row>
    <row r="22" customFormat="false" ht="25.5" hidden="false" customHeight="true" outlineLevel="0" collapsed="false">
      <c r="A22" s="6" t="n">
        <v>19</v>
      </c>
      <c r="B22" s="6" t="s">
        <v>108</v>
      </c>
      <c r="C22" s="35" t="s">
        <v>109</v>
      </c>
      <c r="D22" s="43" t="s">
        <v>21</v>
      </c>
      <c r="E22" s="36"/>
      <c r="F22" s="37" t="str">
        <f aca="false">IF(E22="","Type plural",IF(LOWER(E22)=LOWER("Personalpronomen"),"Correct!","Answer: Personalpronomen"))</f>
        <v>Type plural</v>
      </c>
    </row>
    <row r="23" customFormat="false" ht="25.5" hidden="false" customHeight="true" outlineLevel="0" collapsed="false">
      <c r="A23" s="21" t="n">
        <v>20</v>
      </c>
      <c r="B23" s="21" t="s">
        <v>112</v>
      </c>
      <c r="C23" s="38" t="s">
        <v>113</v>
      </c>
      <c r="D23" s="43" t="s">
        <v>21</v>
      </c>
      <c r="E23" s="36"/>
      <c r="F23" s="39" t="str">
        <f aca="false">IF(E23="","Type plural",IF(LOWER(E23)=LOWER("Verben"),"Correct!","Answer: Verben"))</f>
        <v>Type plural</v>
      </c>
    </row>
    <row r="24" customFormat="false" ht="25.5" hidden="false" customHeight="true" outlineLevel="0" collapsed="false">
      <c r="A24" s="6" t="n">
        <v>21</v>
      </c>
      <c r="B24" s="6" t="s">
        <v>79</v>
      </c>
      <c r="C24" s="35" t="s">
        <v>117</v>
      </c>
      <c r="D24" s="44" t="s">
        <v>37</v>
      </c>
      <c r="E24" s="36"/>
      <c r="F24" s="37" t="str">
        <f aca="false">IF(E24="","Type plural",IF(LOWER(E24)=LOWER("Vornamen"),"Correct!","Answer: Vornamen"))</f>
        <v>Type plural</v>
      </c>
    </row>
    <row r="25" customFormat="false" ht="25.5" hidden="false" customHeight="true" outlineLevel="0" collapsed="false">
      <c r="A25" s="21" t="n">
        <v>22</v>
      </c>
      <c r="B25" s="21" t="s">
        <v>121</v>
      </c>
      <c r="C25" s="38" t="s">
        <v>122</v>
      </c>
      <c r="D25" s="42" t="s">
        <v>14</v>
      </c>
      <c r="E25" s="36"/>
      <c r="F25" s="39" t="str">
        <f aca="false">IF(E25="","Type plural",IF(LOWER(E25)=LOWER("Antworten"),"Correct!","Answer: Antworten"))</f>
        <v>Type plural</v>
      </c>
    </row>
    <row r="26" customFormat="false" ht="25.5" hidden="false" customHeight="true" outlineLevel="0" collapsed="false">
      <c r="A26" s="6" t="n">
        <v>23</v>
      </c>
      <c r="B26" s="6" t="s">
        <v>127</v>
      </c>
      <c r="C26" s="35" t="s">
        <v>128</v>
      </c>
      <c r="D26" s="44" t="s">
        <v>37</v>
      </c>
      <c r="E26" s="36"/>
      <c r="F26" s="37" t="str">
        <f aca="false">IF(E26="","Type plural",IF(LOWER(E26)=LOWER("Reisefuehrer"),"Correct!","Answer: Reisefuehrer"))</f>
        <v>Type plural</v>
      </c>
    </row>
    <row r="27" customFormat="false" ht="25.5" hidden="false" customHeight="true" outlineLevel="0" collapsed="false">
      <c r="A27" s="21" t="n">
        <v>24</v>
      </c>
      <c r="B27" s="21" t="s">
        <v>127</v>
      </c>
      <c r="C27" s="38" t="s">
        <v>131</v>
      </c>
      <c r="D27" s="42" t="s">
        <v>14</v>
      </c>
      <c r="E27" s="36"/>
      <c r="F27" s="39" t="str">
        <f aca="false">IF(E27="","Type plural",IF(LOWER(E27)=LOWER("Reisefuehrerinnen"),"Correct!","Answer: Reisefuehrerinnen"))</f>
        <v>Type plural</v>
      </c>
    </row>
    <row r="28" customFormat="false" ht="25.5" hidden="false" customHeight="true" outlineLevel="0" collapsed="false">
      <c r="A28" s="6" t="n">
        <v>25</v>
      </c>
      <c r="B28" s="6" t="s">
        <v>135</v>
      </c>
      <c r="C28" s="35" t="s">
        <v>136</v>
      </c>
      <c r="D28" s="43" t="s">
        <v>21</v>
      </c>
      <c r="E28" s="36"/>
      <c r="F28" s="37" t="str">
        <f aca="false">IF(E28="","Type plural",IF(LOWER(E28)=LOWER("Telefone"),"Correct!","Answer: Telefone"))</f>
        <v>Type plural</v>
      </c>
    </row>
    <row r="29" customFormat="false" ht="25.5" hidden="false" customHeight="true" outlineLevel="0" collapsed="false">
      <c r="A29" s="21" t="n">
        <v>26</v>
      </c>
      <c r="B29" s="21" t="s">
        <v>62</v>
      </c>
      <c r="C29" s="38" t="s">
        <v>140</v>
      </c>
      <c r="D29" s="44" t="s">
        <v>37</v>
      </c>
      <c r="E29" s="36"/>
      <c r="F29" s="39" t="str">
        <f aca="false">IF(E29="","Type plural",IF(LOWER(E29)=LOWER("Aussagesaetze"),"Correct!","Answer: Aussagesaetze"))</f>
        <v>Type plural</v>
      </c>
    </row>
    <row r="30" customFormat="false" ht="25.5" hidden="false" customHeight="true" outlineLevel="0" collapsed="false">
      <c r="A30" s="6" t="n">
        <v>27</v>
      </c>
      <c r="B30" s="6" t="s">
        <v>145</v>
      </c>
      <c r="C30" s="35" t="s">
        <v>146</v>
      </c>
      <c r="D30" s="43" t="s">
        <v>21</v>
      </c>
      <c r="E30" s="36"/>
      <c r="F30" s="37" t="str">
        <f aca="false">IF(E30="","Type plural",IF(LOWER(E30)=LOWER("Interviews"),"Correct!","Answer: Interviews"))</f>
        <v>Type plural</v>
      </c>
    </row>
    <row r="31" customFormat="false" ht="25.5" hidden="false" customHeight="true" outlineLevel="0" collapsed="false">
      <c r="A31" s="21" t="n">
        <v>28</v>
      </c>
      <c r="B31" s="21" t="s">
        <v>150</v>
      </c>
      <c r="C31" s="38" t="s">
        <v>151</v>
      </c>
      <c r="D31" s="42" t="s">
        <v>14</v>
      </c>
      <c r="E31" s="36"/>
      <c r="F31" s="39" t="str">
        <f aca="false">IF(E31="","Type plural",IF(LOWER(E31)=LOWER("W-Fragen"),"Correct!","Answer: W-Fragen"))</f>
        <v>Type plural</v>
      </c>
    </row>
    <row r="32" customFormat="false" ht="25.5" hidden="false" customHeight="true" outlineLevel="0" collapsed="false">
      <c r="A32" s="6" t="n">
        <v>29</v>
      </c>
      <c r="B32" s="6" t="s">
        <v>155</v>
      </c>
      <c r="C32" s="35" t="s">
        <v>156</v>
      </c>
      <c r="D32" s="44" t="s">
        <v>37</v>
      </c>
      <c r="E32" s="36"/>
      <c r="F32" s="37" t="str">
        <f aca="false">IF(E32="","Type plural",IF(LOWER(E32)=LOWER("Partner"),"Correct!","Answer: Partner"))</f>
        <v>Type plural</v>
      </c>
    </row>
    <row r="33" customFormat="false" ht="25.5" hidden="false" customHeight="true" outlineLevel="0" collapsed="false">
      <c r="A33" s="21" t="n">
        <v>30</v>
      </c>
      <c r="B33" s="21" t="s">
        <v>155</v>
      </c>
      <c r="C33" s="38" t="s">
        <v>160</v>
      </c>
      <c r="D33" s="42" t="s">
        <v>14</v>
      </c>
      <c r="E33" s="36"/>
      <c r="F33" s="39" t="str">
        <f aca="false">IF(E33="","Type plural",IF(LOWER(E33)=LOWER("Partnerinnen"),"Correct!","Answer: Partnerinnen"))</f>
        <v>Type plural</v>
      </c>
    </row>
    <row r="34" customFormat="false" ht="25.5" hidden="false" customHeight="true" outlineLevel="0" collapsed="false">
      <c r="A34" s="6" t="n">
        <v>31</v>
      </c>
      <c r="B34" s="6" t="s">
        <v>108</v>
      </c>
      <c r="C34" s="35" t="s">
        <v>164</v>
      </c>
      <c r="D34" s="44" t="s">
        <v>37</v>
      </c>
      <c r="E34" s="36"/>
      <c r="F34" s="37" t="str">
        <f aca="false">IF(E34="","Type plural",IF(LOWER(E34)=LOWER("Buchstaben"),"Correct!","Answer: Buchstaben"))</f>
        <v>Type plural</v>
      </c>
    </row>
    <row r="35" customFormat="false" ht="25.5" hidden="false" customHeight="true" outlineLevel="0" collapsed="false">
      <c r="A35" s="21" t="n">
        <v>32</v>
      </c>
      <c r="B35" s="21" t="s">
        <v>169</v>
      </c>
      <c r="C35" s="38" t="s">
        <v>170</v>
      </c>
      <c r="D35" s="42" t="s">
        <v>14</v>
      </c>
      <c r="E35" s="36"/>
      <c r="F35" s="39" t="str">
        <f aca="false">IF(E35="","Type plural",IF(LOWER(E35)=LOWER("Handynummern"),"Correct!","Answer: Handynummern"))</f>
        <v>Type plural</v>
      </c>
    </row>
    <row r="36" customFormat="false" ht="25.5" hidden="false" customHeight="true" outlineLevel="0" collapsed="false">
      <c r="A36" s="6" t="n">
        <v>33</v>
      </c>
      <c r="B36" s="6" t="s">
        <v>175</v>
      </c>
      <c r="C36" s="35" t="s">
        <v>176</v>
      </c>
      <c r="D36" s="42" t="s">
        <v>14</v>
      </c>
      <c r="E36" s="36"/>
      <c r="F36" s="37" t="str">
        <f aca="false">IF(E36="","Type plural",IF(LOWER(E36)=LOWER("Telefonnummern"),"Correct!","Answer: Telefonnummern"))</f>
        <v>Type plural</v>
      </c>
    </row>
    <row r="37" customFormat="false" ht="25.5" hidden="false" customHeight="true" outlineLevel="0" collapsed="false">
      <c r="A37" s="21" t="n">
        <v>34</v>
      </c>
      <c r="B37" s="21" t="s">
        <v>181</v>
      </c>
      <c r="C37" s="38" t="s">
        <v>182</v>
      </c>
      <c r="D37" s="43" t="s">
        <v>21</v>
      </c>
      <c r="E37" s="36"/>
      <c r="F37" s="39" t="str">
        <f aca="false">IF(E37="","Type plural",IF(LOWER(E37)=LOWER("Alphabete"),"Correct!","Answer: Alphabete"))</f>
        <v>Type plural</v>
      </c>
    </row>
    <row r="38" customFormat="false" ht="25.5" hidden="false" customHeight="true" outlineLevel="0" collapsed="false">
      <c r="A38" s="6" t="n">
        <v>35</v>
      </c>
      <c r="B38" s="6" t="s">
        <v>187</v>
      </c>
      <c r="C38" s="35" t="s">
        <v>188</v>
      </c>
      <c r="D38" s="42" t="s">
        <v>14</v>
      </c>
      <c r="E38" s="36"/>
      <c r="F38" s="37" t="str">
        <f aca="false">IF(E38="","Type plural",IF(LOWER(E38)=LOWER("E-Mail-Adressen"),"Correct!","Answer: E-Mail-Adressen"))</f>
        <v>Type plural</v>
      </c>
    </row>
    <row r="39" customFormat="false" ht="25.5" hidden="false" customHeight="true" outlineLevel="0" collapsed="false">
      <c r="A39" s="21" t="n">
        <v>36</v>
      </c>
      <c r="B39" s="21" t="s">
        <v>193</v>
      </c>
      <c r="C39" s="38" t="s">
        <v>194</v>
      </c>
      <c r="D39" s="43" t="s">
        <v>21</v>
      </c>
      <c r="E39" s="36"/>
      <c r="F39" s="39" t="str">
        <f aca="false">IF(E39="","Type plural",IF(LOWER(E39)=LOWER("Gespraeche"),"Correct!","Answer: Gespraeche"))</f>
        <v>Type plural</v>
      </c>
    </row>
    <row r="40" customFormat="false" ht="25.5" hidden="false" customHeight="true" outlineLevel="0" collapsed="false">
      <c r="A40" s="6" t="n">
        <v>37</v>
      </c>
      <c r="B40" s="6" t="s">
        <v>198</v>
      </c>
      <c r="C40" s="35" t="s">
        <v>199</v>
      </c>
      <c r="D40" s="44" t="s">
        <v>37</v>
      </c>
      <c r="E40" s="36"/>
      <c r="F40" s="37" t="str">
        <f aca="false">IF(E40="","Type plural",IF(LOWER(E40)=LOWER("Punkte"),"Correct!","Answer: Punkte"))</f>
        <v>Type plural</v>
      </c>
    </row>
    <row r="41" customFormat="false" ht="25.5" hidden="false" customHeight="true" outlineLevel="0" collapsed="false">
      <c r="A41" s="21" t="n">
        <v>38</v>
      </c>
      <c r="B41" s="21" t="s">
        <v>203</v>
      </c>
      <c r="C41" s="38" t="s">
        <v>204</v>
      </c>
      <c r="D41" s="44" t="s">
        <v>37</v>
      </c>
      <c r="E41" s="36"/>
      <c r="F41" s="39" t="str">
        <f aca="false">IF(E41="","Type plural",IF(LOWER(E41)=LOWER("Unterstriche"),"Correct!","Answer: Unterstriche"))</f>
        <v>Type plural</v>
      </c>
    </row>
    <row r="42" customFormat="false" ht="25.5" hidden="false" customHeight="true" outlineLevel="0" collapsed="false">
      <c r="A42" s="6" t="n">
        <v>39</v>
      </c>
      <c r="B42" s="6" t="s">
        <v>208</v>
      </c>
      <c r="C42" s="35" t="s">
        <v>209</v>
      </c>
      <c r="D42" s="44" t="s">
        <v>37</v>
      </c>
      <c r="E42" s="36"/>
      <c r="F42" s="37" t="str">
        <f aca="false">IF(E42="","Type plural",IF(LOWER(E42)=LOWER("Dialoge"),"Correct!","Answer: Dialoge"))</f>
        <v>Type plural</v>
      </c>
    </row>
    <row r="43" customFormat="false" ht="25.5" hidden="false" customHeight="true" outlineLevel="0" collapsed="false">
      <c r="A43" s="21" t="n">
        <v>40</v>
      </c>
      <c r="B43" s="21" t="s">
        <v>214</v>
      </c>
      <c r="C43" s="38" t="s">
        <v>215</v>
      </c>
      <c r="D43" s="42" t="s">
        <v>14</v>
      </c>
      <c r="E43" s="36"/>
      <c r="F43" s="39" t="str">
        <f aca="false">IF(E43="","Type plural",IF(LOWER(E43)=LOWER("Zahlen"),"Correct!","Answer: Zahlen"))</f>
        <v>Type plural</v>
      </c>
    </row>
    <row r="44" customFormat="false" ht="25.5" hidden="false" customHeight="true" outlineLevel="0" collapsed="false">
      <c r="A44" s="6" t="n">
        <v>41</v>
      </c>
      <c r="B44" s="6" t="s">
        <v>219</v>
      </c>
      <c r="C44" s="35" t="s">
        <v>220</v>
      </c>
      <c r="D44" s="43" t="s">
        <v>21</v>
      </c>
      <c r="E44" s="36"/>
      <c r="F44" s="37" t="str">
        <f aca="false">IF(E44="","Type plural",IF(LOWER(E44)=LOWER("Laender"),"Correct!","Answer: Laender"))</f>
        <v>Type plural</v>
      </c>
    </row>
    <row r="45" customFormat="false" ht="25.5" hidden="false" customHeight="true" outlineLevel="0" collapsed="false">
      <c r="A45" s="21" t="n">
        <v>42</v>
      </c>
      <c r="B45" s="21" t="s">
        <v>225</v>
      </c>
      <c r="C45" s="38" t="s">
        <v>226</v>
      </c>
      <c r="D45" s="42" t="s">
        <v>14</v>
      </c>
      <c r="E45" s="36"/>
      <c r="F45" s="39" t="str">
        <f aca="false">IF(E45="","Type plural",IF(LOWER(E45)=LOWER("Tabellen"),"Correct!","Answer: Tabellen"))</f>
        <v>Type plural</v>
      </c>
    </row>
    <row r="46" customFormat="false" ht="25.5" hidden="false" customHeight="true" outlineLevel="0" collapsed="false">
      <c r="A46" s="6" t="n">
        <v>43</v>
      </c>
      <c r="B46" s="6" t="s">
        <v>230</v>
      </c>
      <c r="C46" s="35" t="s">
        <v>231</v>
      </c>
      <c r="D46" s="42" t="s">
        <v>14</v>
      </c>
      <c r="E46" s="36"/>
      <c r="F46" s="37" t="str">
        <f aca="false">IF(E46="","Type plural",IF(LOWER(E46)=LOWER("Staedte"),"Correct!","Answer: Staedte"))</f>
        <v>Type plural</v>
      </c>
    </row>
    <row r="47" customFormat="false" ht="25.5" hidden="false" customHeight="true" outlineLevel="0" collapsed="false">
      <c r="A47" s="21" t="n">
        <v>44</v>
      </c>
      <c r="B47" s="21" t="s">
        <v>236</v>
      </c>
      <c r="C47" s="38" t="s">
        <v>237</v>
      </c>
      <c r="D47" s="44" t="s">
        <v>37</v>
      </c>
      <c r="E47" s="36"/>
      <c r="F47" s="39" t="str">
        <f aca="false">IF(E47="","Type plural",IF(LOWER(E47)=LOWER("Texte"),"Correct!","Answer: Texte"))</f>
        <v>Type plural</v>
      </c>
    </row>
    <row r="48" customFormat="false" ht="25.5" hidden="false" customHeight="true" outlineLevel="0" collapsed="false">
      <c r="A48" s="6" t="n">
        <v>45</v>
      </c>
      <c r="B48" s="6" t="s">
        <v>241</v>
      </c>
      <c r="C48" s="35" t="s">
        <v>242</v>
      </c>
      <c r="D48" s="42" t="s">
        <v>14</v>
      </c>
      <c r="E48" s="36"/>
      <c r="F48" s="37" t="str">
        <f aca="false">IF(E48="","Type plural",IF(LOWER(E48)=LOWER("Grammatiken"),"Correct!","Answer: Grammatiken"))</f>
        <v>Type plural</v>
      </c>
    </row>
    <row r="49" customFormat="false" ht="25.5" hidden="false" customHeight="true" outlineLevel="0" collapsed="false">
      <c r="A49" s="21" t="n">
        <v>46</v>
      </c>
      <c r="B49" s="21" t="s">
        <v>62</v>
      </c>
      <c r="C49" s="38" t="s">
        <v>247</v>
      </c>
      <c r="D49" s="43" t="s">
        <v>21</v>
      </c>
      <c r="E49" s="36"/>
      <c r="F49" s="39" t="str">
        <f aca="false">IF(E49="","Type plural",IF(LOWER(E49)=LOWER("Redemittel"),"Correct!","Answer: Redemittel"))</f>
        <v>Type plural</v>
      </c>
    </row>
    <row r="50" customFormat="false" ht="25.5" hidden="false" customHeight="true" outlineLevel="0" collapsed="false">
      <c r="A50" s="6" t="n">
        <v>47</v>
      </c>
      <c r="B50" s="6" t="s">
        <v>250</v>
      </c>
      <c r="C50" s="35" t="s">
        <v>251</v>
      </c>
      <c r="D50" s="43" t="s">
        <v>21</v>
      </c>
      <c r="E50" s="36"/>
      <c r="F50" s="37" t="str">
        <f aca="false">IF(E50="","Type plural",IF(LOWER(E50)=LOWER("Subjekte"),"Correct!","Answer: Subjekte"))</f>
        <v>Type plural</v>
      </c>
    </row>
    <row r="51" customFormat="false" ht="25.5" hidden="false" customHeight="true" outlineLevel="0" collapsed="false">
      <c r="A51" s="21" t="n">
        <v>48</v>
      </c>
      <c r="B51" s="21" t="s">
        <v>150</v>
      </c>
      <c r="C51" s="38" t="s">
        <v>255</v>
      </c>
      <c r="D51" s="43" t="s">
        <v>21</v>
      </c>
      <c r="E51" s="36"/>
      <c r="F51" s="39" t="str">
        <f aca="false">IF(E51="","Type plural",IF(LOWER(E51)=LOWER("W-Woerter"),"Correct!","Answer: W-Woerter"))</f>
        <v>Type plural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D6A0"/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7" min="7" style="0" width="7"/>
    <col collapsed="false" customWidth="true" hidden="false" outlineLevel="0" max="8" min="8" style="0" width="22"/>
  </cols>
  <sheetData>
    <row r="1" customFormat="false" ht="42" hidden="false" customHeight="true" outlineLevel="0" collapsed="false">
      <c r="A1" s="45" t="s">
        <v>658</v>
      </c>
      <c r="B1" s="45"/>
      <c r="C1" s="45"/>
      <c r="D1" s="45"/>
      <c r="E1" s="45"/>
      <c r="F1" s="45"/>
      <c r="G1" s="45"/>
      <c r="H1" s="45"/>
      <c r="I1" s="45"/>
    </row>
    <row r="2" customFormat="false" ht="26.85" hidden="false" customHeight="true" outlineLevel="0" collapsed="false">
      <c r="A2" s="2" t="s">
        <v>659</v>
      </c>
      <c r="B2" s="2"/>
      <c r="D2" s="3" t="s">
        <v>660</v>
      </c>
      <c r="E2" s="3"/>
      <c r="G2" s="4" t="s">
        <v>661</v>
      </c>
      <c r="H2" s="4"/>
    </row>
    <row r="3" customFormat="false" ht="24" hidden="false" customHeight="true" outlineLevel="0" collapsed="false">
      <c r="A3" s="46" t="s">
        <v>35</v>
      </c>
      <c r="B3" s="44" t="s">
        <v>36</v>
      </c>
      <c r="D3" s="47" t="s">
        <v>12</v>
      </c>
      <c r="E3" s="42" t="s">
        <v>13</v>
      </c>
      <c r="G3" s="48" t="s">
        <v>19</v>
      </c>
      <c r="H3" s="43" t="s">
        <v>20</v>
      </c>
    </row>
    <row r="4" customFormat="false" ht="24" hidden="false" customHeight="true" outlineLevel="0" collapsed="false">
      <c r="A4" s="46" t="s">
        <v>41</v>
      </c>
      <c r="B4" s="44" t="s">
        <v>42</v>
      </c>
      <c r="D4" s="47" t="s">
        <v>25</v>
      </c>
      <c r="E4" s="42" t="s">
        <v>26</v>
      </c>
      <c r="G4" s="48" t="s">
        <v>30</v>
      </c>
      <c r="H4" s="43" t="s">
        <v>31</v>
      </c>
    </row>
    <row r="5" customFormat="false" ht="24" hidden="false" customHeight="true" outlineLevel="0" collapsed="false">
      <c r="A5" s="46" t="s">
        <v>45</v>
      </c>
      <c r="B5" s="44" t="s">
        <v>46</v>
      </c>
      <c r="D5" s="47" t="s">
        <v>50</v>
      </c>
      <c r="E5" s="42" t="s">
        <v>51</v>
      </c>
      <c r="G5" s="48" t="s">
        <v>55</v>
      </c>
      <c r="H5" s="43" t="s">
        <v>56</v>
      </c>
    </row>
    <row r="6" customFormat="false" ht="24" hidden="false" customHeight="true" outlineLevel="0" collapsed="false">
      <c r="A6" s="46" t="s">
        <v>90</v>
      </c>
      <c r="B6" s="44" t="s">
        <v>91</v>
      </c>
      <c r="D6" s="47" t="s">
        <v>62</v>
      </c>
      <c r="E6" s="42" t="s">
        <v>63</v>
      </c>
      <c r="G6" s="48" t="s">
        <v>55</v>
      </c>
      <c r="H6" s="43" t="s">
        <v>59</v>
      </c>
    </row>
    <row r="7" customFormat="false" ht="24" hidden="false" customHeight="true" outlineLevel="0" collapsed="false">
      <c r="A7" s="46" t="s">
        <v>102</v>
      </c>
      <c r="B7" s="44" t="s">
        <v>103</v>
      </c>
      <c r="D7" s="47" t="s">
        <v>73</v>
      </c>
      <c r="E7" s="42" t="s">
        <v>74</v>
      </c>
      <c r="G7" s="48" t="s">
        <v>68</v>
      </c>
      <c r="H7" s="43" t="s">
        <v>69</v>
      </c>
    </row>
    <row r="8" customFormat="false" ht="24" hidden="false" customHeight="true" outlineLevel="0" collapsed="false">
      <c r="A8" s="46" t="s">
        <v>79</v>
      </c>
      <c r="B8" s="44" t="s">
        <v>117</v>
      </c>
      <c r="D8" s="47" t="s">
        <v>79</v>
      </c>
      <c r="E8" s="42" t="s">
        <v>80</v>
      </c>
      <c r="G8" s="48" t="s">
        <v>96</v>
      </c>
      <c r="H8" s="43" t="s">
        <v>97</v>
      </c>
    </row>
    <row r="9" customFormat="false" ht="24" hidden="false" customHeight="true" outlineLevel="0" collapsed="false">
      <c r="A9" s="46" t="s">
        <v>127</v>
      </c>
      <c r="B9" s="44" t="s">
        <v>128</v>
      </c>
      <c r="D9" s="47" t="s">
        <v>84</v>
      </c>
      <c r="E9" s="42" t="s">
        <v>85</v>
      </c>
      <c r="G9" s="48" t="s">
        <v>108</v>
      </c>
      <c r="H9" s="43" t="s">
        <v>109</v>
      </c>
    </row>
    <row r="10" customFormat="false" ht="24" hidden="false" customHeight="true" outlineLevel="0" collapsed="false">
      <c r="A10" s="46" t="s">
        <v>62</v>
      </c>
      <c r="B10" s="44" t="s">
        <v>140</v>
      </c>
      <c r="D10" s="47" t="s">
        <v>121</v>
      </c>
      <c r="E10" s="42" t="s">
        <v>122</v>
      </c>
      <c r="G10" s="48" t="s">
        <v>112</v>
      </c>
      <c r="H10" s="43" t="s">
        <v>113</v>
      </c>
    </row>
    <row r="11" customFormat="false" ht="24" hidden="false" customHeight="true" outlineLevel="0" collapsed="false">
      <c r="A11" s="46" t="s">
        <v>155</v>
      </c>
      <c r="B11" s="44" t="s">
        <v>156</v>
      </c>
      <c r="D11" s="47" t="s">
        <v>127</v>
      </c>
      <c r="E11" s="42" t="s">
        <v>131</v>
      </c>
      <c r="G11" s="48" t="s">
        <v>135</v>
      </c>
      <c r="H11" s="43" t="s">
        <v>136</v>
      </c>
    </row>
    <row r="12" customFormat="false" ht="24" hidden="false" customHeight="true" outlineLevel="0" collapsed="false">
      <c r="A12" s="46" t="s">
        <v>108</v>
      </c>
      <c r="B12" s="44" t="s">
        <v>164</v>
      </c>
      <c r="D12" s="47" t="s">
        <v>150</v>
      </c>
      <c r="E12" s="42" t="s">
        <v>151</v>
      </c>
      <c r="G12" s="48" t="s">
        <v>145</v>
      </c>
      <c r="H12" s="43" t="s">
        <v>146</v>
      </c>
    </row>
    <row r="13" customFormat="false" ht="24" hidden="false" customHeight="true" outlineLevel="0" collapsed="false">
      <c r="A13" s="46" t="s">
        <v>198</v>
      </c>
      <c r="B13" s="44" t="s">
        <v>199</v>
      </c>
      <c r="D13" s="47" t="s">
        <v>155</v>
      </c>
      <c r="E13" s="42" t="s">
        <v>160</v>
      </c>
      <c r="G13" s="48" t="s">
        <v>181</v>
      </c>
      <c r="H13" s="43" t="s">
        <v>182</v>
      </c>
    </row>
    <row r="14" customFormat="false" ht="24" hidden="false" customHeight="true" outlineLevel="0" collapsed="false">
      <c r="A14" s="46" t="s">
        <v>203</v>
      </c>
      <c r="B14" s="44" t="s">
        <v>204</v>
      </c>
      <c r="D14" s="47" t="s">
        <v>169</v>
      </c>
      <c r="E14" s="42" t="s">
        <v>170</v>
      </c>
      <c r="G14" s="48" t="s">
        <v>193</v>
      </c>
      <c r="H14" s="43" t="s">
        <v>194</v>
      </c>
    </row>
    <row r="15" customFormat="false" ht="24" hidden="false" customHeight="true" outlineLevel="0" collapsed="false">
      <c r="A15" s="46" t="s">
        <v>208</v>
      </c>
      <c r="B15" s="44" t="s">
        <v>209</v>
      </c>
      <c r="D15" s="47" t="s">
        <v>175</v>
      </c>
      <c r="E15" s="42" t="s">
        <v>176</v>
      </c>
      <c r="G15" s="48" t="s">
        <v>219</v>
      </c>
      <c r="H15" s="43" t="s">
        <v>220</v>
      </c>
    </row>
    <row r="16" customFormat="false" ht="24" hidden="false" customHeight="true" outlineLevel="0" collapsed="false">
      <c r="A16" s="46" t="s">
        <v>236</v>
      </c>
      <c r="B16" s="44" t="s">
        <v>237</v>
      </c>
      <c r="D16" s="47" t="s">
        <v>187</v>
      </c>
      <c r="E16" s="42" t="s">
        <v>188</v>
      </c>
      <c r="G16" s="48" t="s">
        <v>62</v>
      </c>
      <c r="H16" s="43" t="s">
        <v>247</v>
      </c>
    </row>
    <row r="17" customFormat="false" ht="24" hidden="false" customHeight="true" outlineLevel="0" collapsed="false">
      <c r="D17" s="47" t="s">
        <v>214</v>
      </c>
      <c r="E17" s="42" t="s">
        <v>215</v>
      </c>
      <c r="G17" s="48" t="s">
        <v>250</v>
      </c>
      <c r="H17" s="43" t="s">
        <v>251</v>
      </c>
    </row>
    <row r="18" customFormat="false" ht="24" hidden="false" customHeight="true" outlineLevel="0" collapsed="false">
      <c r="D18" s="47" t="s">
        <v>225</v>
      </c>
      <c r="E18" s="42" t="s">
        <v>226</v>
      </c>
      <c r="G18" s="48" t="s">
        <v>150</v>
      </c>
      <c r="H18" s="43" t="s">
        <v>255</v>
      </c>
    </row>
    <row r="19" customFormat="false" ht="24" hidden="false" customHeight="true" outlineLevel="0" collapsed="false">
      <c r="D19" s="47" t="s">
        <v>230</v>
      </c>
      <c r="E19" s="42" t="s">
        <v>231</v>
      </c>
    </row>
    <row r="20" customFormat="false" ht="24" hidden="false" customHeight="true" outlineLevel="0" collapsed="false">
      <c r="D20" s="47" t="s">
        <v>241</v>
      </c>
      <c r="E20" s="42" t="s">
        <v>242</v>
      </c>
    </row>
  </sheetData>
  <mergeCells count="4">
    <mergeCell ref="A1:I1"/>
    <mergeCell ref="A2:B2"/>
    <mergeCell ref="D2:E2"/>
    <mergeCell ref="G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7B6"/>
    <pageSetUpPr fitToPage="false"/>
  </sheetPr>
  <dimension ref="A1:E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24"/>
  </cols>
  <sheetData>
    <row r="1" customFormat="false" ht="42" hidden="false" customHeight="true" outlineLevel="0" collapsed="false">
      <c r="A1" s="49" t="s">
        <v>662</v>
      </c>
      <c r="B1" s="49"/>
      <c r="C1" s="49"/>
      <c r="D1" s="49"/>
      <c r="E1" s="49"/>
    </row>
    <row r="2" customFormat="false" ht="25.5" hidden="false" customHeight="true" outlineLevel="0" collapsed="false">
      <c r="A2" s="41" t="s">
        <v>663</v>
      </c>
      <c r="B2" s="41"/>
      <c r="C2" s="41"/>
      <c r="D2" s="41"/>
      <c r="E2" s="41"/>
    </row>
    <row r="3" customFormat="false" ht="25.5" hidden="false" customHeight="true" outlineLevel="0" collapsed="false">
      <c r="A3" s="18" t="s">
        <v>4</v>
      </c>
      <c r="B3" s="18" t="s">
        <v>5</v>
      </c>
      <c r="C3" s="18" t="s">
        <v>265</v>
      </c>
      <c r="D3" s="18" t="s">
        <v>664</v>
      </c>
      <c r="E3" s="18" t="s">
        <v>653</v>
      </c>
    </row>
    <row r="4" customFormat="false" ht="24" hidden="false" customHeight="true" outlineLevel="0" collapsed="false">
      <c r="A4" s="6" t="n">
        <v>1</v>
      </c>
      <c r="B4" s="6" t="s">
        <v>638</v>
      </c>
      <c r="C4" s="35" t="s">
        <v>639</v>
      </c>
      <c r="D4" s="50"/>
      <c r="E4" s="37" t="str">
        <f aca="false">IF(D4="","Type answer",IF(LOWER(TRIM(D4))="miss","Correct!","Ans: Miss/Mrs/Ms"))</f>
        <v>Type answer</v>
      </c>
    </row>
    <row r="5" customFormat="false" ht="24" hidden="false" customHeight="true" outlineLevel="0" collapsed="false">
      <c r="A5" s="21" t="n">
        <v>2</v>
      </c>
      <c r="B5" s="21" t="s">
        <v>187</v>
      </c>
      <c r="C5" s="38" t="s">
        <v>188</v>
      </c>
      <c r="D5" s="50"/>
      <c r="E5" s="39" t="str">
        <f aca="false">IF(D5="","Type answer",IF(LOWER(TRIM(D5))="email address","Correct!","Ans: email address"))</f>
        <v>Type answer</v>
      </c>
    </row>
    <row r="6" customFormat="false" ht="24" hidden="false" customHeight="true" outlineLevel="0" collapsed="false">
      <c r="A6" s="6" t="n">
        <v>3</v>
      </c>
      <c r="B6" s="6" t="s">
        <v>568</v>
      </c>
      <c r="C6" s="35" t="s">
        <v>569</v>
      </c>
      <c r="D6" s="50"/>
      <c r="E6" s="37" t="str">
        <f aca="false">IF(D6="","Type answer",IF(LOWER(TRIM(D6))="slow","Correct!","Ans: slow"))</f>
        <v>Type answer</v>
      </c>
    </row>
    <row r="7" customFormat="false" ht="24" hidden="false" customHeight="true" outlineLevel="0" collapsed="false">
      <c r="A7" s="21" t="n">
        <v>4</v>
      </c>
      <c r="B7" s="21" t="s">
        <v>457</v>
      </c>
      <c r="C7" s="38" t="s">
        <v>463</v>
      </c>
      <c r="D7" s="50"/>
      <c r="E7" s="39" t="str">
        <f aca="false">IF(D7="","Type answer",IF(LOWER(TRIM(D7))="bye","Correct!","Ans: bye"))</f>
        <v>Type answer</v>
      </c>
    </row>
    <row r="8" customFormat="false" ht="24" hidden="false" customHeight="true" outlineLevel="0" collapsed="false">
      <c r="A8" s="6" t="n">
        <v>5</v>
      </c>
      <c r="B8" s="6" t="s">
        <v>601</v>
      </c>
      <c r="C8" s="35" t="s">
        <v>610</v>
      </c>
      <c r="D8" s="50"/>
      <c r="E8" s="37" t="str">
        <f aca="false">IF(D8="","Type answer",IF(LOWER(TRIM(D8))="you","Correct!","Ans: you (formal)"))</f>
        <v>Type answer</v>
      </c>
    </row>
    <row r="9" customFormat="false" ht="24" hidden="false" customHeight="true" outlineLevel="0" collapsed="false">
      <c r="A9" s="21" t="n">
        <v>6</v>
      </c>
      <c r="B9" s="21" t="s">
        <v>348</v>
      </c>
      <c r="C9" s="38" t="s">
        <v>349</v>
      </c>
      <c r="D9" s="50"/>
      <c r="E9" s="39" t="str">
        <f aca="false">IF(D9="","Type answer",IF(LOWER(TRIM(D9))="spanish","Correct!","Ans: Spanish"))</f>
        <v>Type answer</v>
      </c>
    </row>
    <row r="10" customFormat="false" ht="24" hidden="false" customHeight="true" outlineLevel="0" collapsed="false">
      <c r="A10" s="6" t="n">
        <v>7</v>
      </c>
      <c r="B10" s="6" t="s">
        <v>219</v>
      </c>
      <c r="C10" s="35" t="s">
        <v>220</v>
      </c>
      <c r="D10" s="50"/>
      <c r="E10" s="37" t="str">
        <f aca="false">IF(D10="","Type answer",IF(LOWER(TRIM(D10))="country","Correct!","Ans: country"))</f>
        <v>Type answer</v>
      </c>
    </row>
    <row r="11" customFormat="false" ht="24" hidden="false" customHeight="true" outlineLevel="0" collapsed="false">
      <c r="A11" s="21" t="n">
        <v>8</v>
      </c>
      <c r="B11" s="21" t="s">
        <v>594</v>
      </c>
      <c r="C11" s="38" t="s">
        <v>595</v>
      </c>
      <c r="D11" s="50"/>
      <c r="E11" s="39" t="str">
        <f aca="false">IF(D11="","Type answer",IF(LOWER(TRIM(D11))="then","Correct!","Ans: then"))</f>
        <v>Type answer</v>
      </c>
    </row>
    <row r="12" customFormat="false" ht="24" hidden="false" customHeight="true" outlineLevel="0" collapsed="false">
      <c r="A12" s="6" t="n">
        <v>9</v>
      </c>
      <c r="B12" s="6" t="s">
        <v>367</v>
      </c>
      <c r="C12" s="35" t="s">
        <v>368</v>
      </c>
      <c r="D12" s="50"/>
      <c r="E12" s="37" t="str">
        <f aca="false">IF(D12="","Type answer",IF(LOWER(TRIM(D12))="austria","Correct!","Ans: Austria"))</f>
        <v>Type answer</v>
      </c>
    </row>
    <row r="13" customFormat="false" ht="24" hidden="false" customHeight="true" outlineLevel="0" collapsed="false">
      <c r="A13" s="21" t="n">
        <v>10</v>
      </c>
      <c r="B13" s="21" t="s">
        <v>73</v>
      </c>
      <c r="C13" s="38" t="s">
        <v>479</v>
      </c>
      <c r="D13" s="50"/>
      <c r="E13" s="39" t="str">
        <f aca="false">IF(D13="","Type answer",IF(LOWER(TRIM(D13))="thank you","Correct!","Ans: thank you"))</f>
        <v>Type answer</v>
      </c>
    </row>
    <row r="14" customFormat="false" ht="24" hidden="false" customHeight="true" outlineLevel="0" collapsed="false">
      <c r="A14" s="6" t="n">
        <v>11</v>
      </c>
      <c r="B14" s="6" t="s">
        <v>537</v>
      </c>
      <c r="C14" s="35" t="s">
        <v>538</v>
      </c>
      <c r="D14" s="50"/>
      <c r="E14" s="37" t="str">
        <f aca="false">IF(D14="","Type answer",IF(LOWER(TRIM(D14))="to react","Correct!","Ans: to react"))</f>
        <v>Type answer</v>
      </c>
    </row>
    <row r="15" customFormat="false" ht="24" hidden="false" customHeight="true" outlineLevel="0" collapsed="false">
      <c r="A15" s="21" t="n">
        <v>12</v>
      </c>
      <c r="B15" s="21" t="s">
        <v>565</v>
      </c>
      <c r="C15" s="38" t="s">
        <v>566</v>
      </c>
      <c r="D15" s="50"/>
      <c r="E15" s="39" t="str">
        <f aca="false">IF(D15="","Type answer",IF(LOWER(TRIM(D15))="loud","Correct!","Ans: loud"))</f>
        <v>Type answer</v>
      </c>
    </row>
    <row r="16" customFormat="false" ht="24" hidden="false" customHeight="true" outlineLevel="0" collapsed="false">
      <c r="A16" s="6" t="n">
        <v>13</v>
      </c>
      <c r="B16" s="6" t="s">
        <v>583</v>
      </c>
      <c r="C16" s="35" t="s">
        <v>584</v>
      </c>
      <c r="D16" s="50"/>
      <c r="E16" s="37" t="str">
        <f aca="false">IF(D16="","Type answer",IF(LOWER(TRIM(D16))="not","Correct!","Ans: not"))</f>
        <v>Type answer</v>
      </c>
    </row>
    <row r="17" customFormat="false" ht="24" hidden="false" customHeight="true" outlineLevel="0" collapsed="false">
      <c r="A17" s="21" t="n">
        <v>14</v>
      </c>
      <c r="B17" s="21" t="s">
        <v>108</v>
      </c>
      <c r="C17" s="38" t="s">
        <v>531</v>
      </c>
      <c r="D17" s="50"/>
      <c r="E17" s="39" t="str">
        <f aca="false">IF(D17="","Type answer",IF(LOWER(TRIM(D17))="to spell","Correct!","Ans: to spell"))</f>
        <v>Type answer</v>
      </c>
    </row>
    <row r="18" customFormat="false" ht="24" hidden="false" customHeight="true" outlineLevel="0" collapsed="false">
      <c r="A18" s="6" t="n">
        <v>15</v>
      </c>
      <c r="B18" s="6" t="s">
        <v>562</v>
      </c>
      <c r="C18" s="35" t="s">
        <v>563</v>
      </c>
      <c r="D18" s="50"/>
      <c r="E18" s="37" t="str">
        <f aca="false">IF(D18="","Type answer",IF(LOWER(TRIM(D18))="informal","Correct!","Ans: informal"))</f>
        <v>Type answer</v>
      </c>
    </row>
    <row r="19" customFormat="false" ht="24" hidden="false" customHeight="true" outlineLevel="0" collapsed="false">
      <c r="A19" s="21" t="n">
        <v>16</v>
      </c>
      <c r="B19" s="21" t="s">
        <v>488</v>
      </c>
      <c r="C19" s="38" t="s">
        <v>489</v>
      </c>
      <c r="D19" s="50"/>
      <c r="E19" s="39" t="str">
        <f aca="false">IF(D19="","Type answer",IF(LOWER(TRIM(D19))="to have","Correct!","Ans: to have"))</f>
        <v>Type answer</v>
      </c>
    </row>
    <row r="20" customFormat="false" ht="24" hidden="false" customHeight="true" outlineLevel="0" collapsed="false">
      <c r="A20" s="6" t="n">
        <v>17</v>
      </c>
      <c r="B20" s="6" t="s">
        <v>559</v>
      </c>
      <c r="C20" s="35" t="s">
        <v>560</v>
      </c>
      <c r="D20" s="50"/>
      <c r="E20" s="37" t="str">
        <f aca="false">IF(D20="","Type answer",IF(LOWER(TRIM(D20))="formal","Correct!","Ans: formal"))</f>
        <v>Type answer</v>
      </c>
    </row>
    <row r="21" customFormat="false" ht="24" hidden="false" customHeight="true" outlineLevel="0" collapsed="false">
      <c r="A21" s="21" t="n">
        <v>18</v>
      </c>
      <c r="B21" s="21" t="s">
        <v>407</v>
      </c>
      <c r="C21" s="38" t="s">
        <v>589</v>
      </c>
      <c r="D21" s="50"/>
      <c r="E21" s="39" t="str">
        <f aca="false">IF(D21="","Type answer",IF(LOWER(TRIM(D21))="at first","Correct!","Ans: at first"))</f>
        <v>Type answer</v>
      </c>
    </row>
    <row r="22" customFormat="false" ht="24" hidden="false" customHeight="true" outlineLevel="0" collapsed="false">
      <c r="A22" s="6" t="n">
        <v>19</v>
      </c>
      <c r="B22" s="6" t="s">
        <v>127</v>
      </c>
      <c r="C22" s="35" t="s">
        <v>131</v>
      </c>
      <c r="D22" s="50"/>
      <c r="E22" s="37" t="str">
        <f aca="false">IF(D22="","Type answer",IF(LOWER(TRIM(D22))="travel guide","Correct!","Ans: travel guide (f)"))</f>
        <v>Type answer</v>
      </c>
    </row>
    <row r="23" customFormat="false" ht="24" hidden="false" customHeight="true" outlineLevel="0" collapsed="false">
      <c r="A23" s="21" t="n">
        <v>20</v>
      </c>
      <c r="B23" s="21" t="s">
        <v>121</v>
      </c>
      <c r="C23" s="38" t="s">
        <v>122</v>
      </c>
      <c r="D23" s="50"/>
      <c r="E23" s="39" t="str">
        <f aca="false">IF(D23="","Type answer",IF(LOWER(TRIM(D23))="answer","Correct!","Ans: answer"))</f>
        <v>Type answer</v>
      </c>
    </row>
    <row r="24" customFormat="false" ht="24" hidden="false" customHeight="true" outlineLevel="0" collapsed="false">
      <c r="A24" s="6" t="n">
        <v>21</v>
      </c>
      <c r="B24" s="6" t="s">
        <v>214</v>
      </c>
      <c r="C24" s="35" t="s">
        <v>455</v>
      </c>
      <c r="D24" s="50"/>
      <c r="E24" s="37" t="str">
        <f aca="false">IF(D24="","Type answer",IF(LOWER(TRIM(D24))="twenty","Correct!","Ans: twenty"))</f>
        <v>Type answer</v>
      </c>
    </row>
    <row r="25" customFormat="false" ht="24" hidden="false" customHeight="true" outlineLevel="0" collapsed="false">
      <c r="A25" s="21" t="n">
        <v>22</v>
      </c>
      <c r="B25" s="21" t="s">
        <v>181</v>
      </c>
      <c r="C25" s="38" t="s">
        <v>182</v>
      </c>
      <c r="D25" s="50"/>
      <c r="E25" s="39" t="str">
        <f aca="false">IF(D25="","Type answer",IF(LOWER(TRIM(D25))="alphabet","Correct!","Ans: alphabet"))</f>
        <v>Type answer</v>
      </c>
    </row>
    <row r="26" customFormat="false" ht="24" hidden="false" customHeight="true" outlineLevel="0" collapsed="false">
      <c r="A26" s="6" t="n">
        <v>23</v>
      </c>
      <c r="B26" s="6" t="s">
        <v>150</v>
      </c>
      <c r="C26" s="35" t="s">
        <v>255</v>
      </c>
      <c r="D26" s="50"/>
      <c r="E26" s="37" t="str">
        <f aca="false">IF(D26="","Type answer",IF(LOWER(TRIM(D26))="w-word","Correct!","Ans: w-word"))</f>
        <v>Type answer</v>
      </c>
    </row>
    <row r="27" customFormat="false" ht="24" hidden="false" customHeight="true" outlineLevel="0" collapsed="false">
      <c r="A27" s="21" t="n">
        <v>24</v>
      </c>
      <c r="B27" s="21" t="s">
        <v>476</v>
      </c>
      <c r="C27" s="38" t="s">
        <v>477</v>
      </c>
      <c r="D27" s="50"/>
      <c r="E27" s="39" t="str">
        <f aca="false">IF(D27="","Type answer",IF(LOWER(TRIM(D27))="good morning","Correct!","Ans: good morning"))</f>
        <v>Type answer</v>
      </c>
    </row>
    <row r="28" customFormat="false" ht="24" hidden="false" customHeight="true" outlineLevel="0" collapsed="false">
      <c r="A28" s="6" t="n">
        <v>25</v>
      </c>
      <c r="B28" s="6" t="s">
        <v>336</v>
      </c>
      <c r="C28" s="35" t="s">
        <v>392</v>
      </c>
      <c r="D28" s="50"/>
      <c r="E28" s="37" t="str">
        <f aca="false">IF(D28="","Type answer",IF(LOWER(TRIM(D28))="russia","Correct!","Ans: Russia"))</f>
        <v>Type answer</v>
      </c>
    </row>
    <row r="29" customFormat="false" ht="24" hidden="false" customHeight="true" outlineLevel="0" collapsed="false">
      <c r="A29" s="21" t="n">
        <v>26</v>
      </c>
      <c r="B29" s="21" t="s">
        <v>622</v>
      </c>
      <c r="C29" s="38" t="s">
        <v>623</v>
      </c>
      <c r="D29" s="50"/>
      <c r="E29" s="39" t="str">
        <f aca="false">IF(D29="","Type answer",IF(LOWER(TRIM(D29))="how","Correct!","Ans: how / what"))</f>
        <v>Type answer</v>
      </c>
    </row>
    <row r="30" customFormat="false" ht="24" hidden="false" customHeight="true" outlineLevel="0" collapsed="false">
      <c r="A30" s="6" t="n">
        <v>27</v>
      </c>
      <c r="B30" s="6" t="s">
        <v>425</v>
      </c>
      <c r="C30" s="35" t="s">
        <v>426</v>
      </c>
      <c r="D30" s="50"/>
      <c r="E30" s="37" t="str">
        <f aca="false">IF(D30="","Type answer",IF(LOWER(TRIM(D30))="seven","Correct!","Ans: seven"))</f>
        <v>Type answer</v>
      </c>
    </row>
    <row r="31" customFormat="false" ht="24" hidden="false" customHeight="true" outlineLevel="0" collapsed="false">
      <c r="A31" s="21" t="n">
        <v>28</v>
      </c>
      <c r="B31" s="21" t="s">
        <v>193</v>
      </c>
      <c r="C31" s="38" t="s">
        <v>194</v>
      </c>
      <c r="D31" s="50"/>
      <c r="E31" s="39" t="str">
        <f aca="false">IF(D31="","Type answer",IF(LOWER(TRIM(D31))="conversation","Correct!","Ans: conversation"))</f>
        <v>Type answer</v>
      </c>
    </row>
    <row r="32" customFormat="false" ht="24" hidden="false" customHeight="true" outlineLevel="0" collapsed="false">
      <c r="A32" s="6" t="n">
        <v>29</v>
      </c>
      <c r="B32" s="6" t="s">
        <v>150</v>
      </c>
      <c r="C32" s="35" t="s">
        <v>614</v>
      </c>
      <c r="D32" s="50"/>
      <c r="E32" s="37" t="str">
        <f aca="false">IF(D32="","Type answer",IF(LOWER(TRIM(D32))="what","Correct!","Ans: what"))</f>
        <v>Type answer</v>
      </c>
    </row>
    <row r="33" customFormat="false" ht="24" hidden="false" customHeight="true" outlineLevel="0" collapsed="false">
      <c r="A33" s="21" t="n">
        <v>30</v>
      </c>
      <c r="B33" s="21" t="s">
        <v>354</v>
      </c>
      <c r="C33" s="38" t="s">
        <v>390</v>
      </c>
      <c r="D33" s="50"/>
      <c r="E33" s="39" t="str">
        <f aca="false">IF(D33="","Type answer",IF(LOWER(TRIM(D33))="poland","Correct!","Ans: Poland"))</f>
        <v>Type answer</v>
      </c>
    </row>
    <row r="34" customFormat="false" ht="24" hidden="false" customHeight="true" outlineLevel="0" collapsed="false">
      <c r="A34" s="6" t="n">
        <v>31</v>
      </c>
      <c r="B34" s="6" t="s">
        <v>627</v>
      </c>
      <c r="C34" s="35" t="s">
        <v>628</v>
      </c>
      <c r="D34" s="50"/>
      <c r="E34" s="37" t="str">
        <f aca="false">IF(D34="","Type answer",IF(LOWER(TRIM(D34))="or","Correct!","Ans: or"))</f>
        <v>Type answer</v>
      </c>
    </row>
    <row r="35" customFormat="false" ht="24" hidden="false" customHeight="true" outlineLevel="0" collapsed="false">
      <c r="A35" s="21" t="n">
        <v>32</v>
      </c>
      <c r="B35" s="21" t="s">
        <v>225</v>
      </c>
      <c r="C35" s="38" t="s">
        <v>226</v>
      </c>
      <c r="D35" s="50"/>
      <c r="E35" s="39" t="str">
        <f aca="false">IF(D35="","Type answer",IF(LOWER(TRIM(D35))="table","Correct!","Ans: table / chart"))</f>
        <v>Type answer</v>
      </c>
    </row>
    <row r="36" customFormat="false" ht="24" hidden="false" customHeight="true" outlineLevel="0" collapsed="false">
      <c r="A36" s="6" t="n">
        <v>33</v>
      </c>
      <c r="B36" s="6" t="s">
        <v>604</v>
      </c>
      <c r="C36" s="35" t="s">
        <v>605</v>
      </c>
      <c r="D36" s="50"/>
      <c r="E36" s="37" t="str">
        <f aca="false">IF(D36="","Type answer",IF(LOWER(TRIM(D36))="he","Correct!","Ans: he"))</f>
        <v>Type answer</v>
      </c>
    </row>
    <row r="37" customFormat="false" ht="24" hidden="false" customHeight="true" outlineLevel="0" collapsed="false">
      <c r="A37" s="21" t="n">
        <v>34</v>
      </c>
      <c r="B37" s="21" t="s">
        <v>214</v>
      </c>
      <c r="C37" s="38" t="s">
        <v>215</v>
      </c>
      <c r="D37" s="50"/>
      <c r="E37" s="39" t="str">
        <f aca="false">IF(D37="","Type answer",IF(LOWER(TRIM(D37))="number","Correct!","Ans: number"))</f>
        <v>Type answer</v>
      </c>
    </row>
    <row r="38" customFormat="false" ht="24" hidden="false" customHeight="true" outlineLevel="0" collapsed="false">
      <c r="A38" s="6" t="n">
        <v>35</v>
      </c>
      <c r="B38" s="6" t="s">
        <v>208</v>
      </c>
      <c r="C38" s="35" t="s">
        <v>533</v>
      </c>
      <c r="D38" s="50"/>
      <c r="E38" s="37" t="str">
        <f aca="false">IF(D38="","Type answer",IF(LOWER(TRIM(D38))="to speak along","Correct!","Ans: to speak along"))</f>
        <v>Type answer</v>
      </c>
    </row>
    <row r="39" customFormat="false" ht="24" hidden="false" customHeight="true" outlineLevel="0" collapsed="false">
      <c r="A39" s="21" t="n">
        <v>36</v>
      </c>
      <c r="B39" s="21" t="s">
        <v>428</v>
      </c>
      <c r="C39" s="38" t="s">
        <v>429</v>
      </c>
      <c r="D39" s="50"/>
      <c r="E39" s="39" t="str">
        <f aca="false">IF(D39="","Type answer",IF(LOWER(TRIM(D39))="eight","Correct!","Ans: eight"))</f>
        <v>Type answer</v>
      </c>
    </row>
    <row r="40" customFormat="false" ht="24" hidden="false" customHeight="true" outlineLevel="0" collapsed="false">
      <c r="A40" s="6" t="n">
        <v>37</v>
      </c>
      <c r="B40" s="6" t="s">
        <v>457</v>
      </c>
      <c r="C40" s="35" t="s">
        <v>458</v>
      </c>
      <c r="D40" s="50"/>
      <c r="E40" s="37" t="str">
        <f aca="false">IF(D40="","Type answer",IF(LOWER(TRIM(D40))="good day!","Correct!","Ans: Good day! / Hello!"))</f>
        <v>Type answer</v>
      </c>
    </row>
    <row r="41" customFormat="false" ht="24" hidden="false" customHeight="true" outlineLevel="0" collapsed="false">
      <c r="A41" s="21" t="n">
        <v>38</v>
      </c>
      <c r="B41" s="21" t="s">
        <v>236</v>
      </c>
      <c r="C41" s="38" t="s">
        <v>237</v>
      </c>
      <c r="D41" s="50"/>
      <c r="E41" s="39" t="str">
        <f aca="false">IF(D41="","Type answer",IF(LOWER(TRIM(D41))="text","Correct!","Ans: text"))</f>
        <v>Type answer</v>
      </c>
    </row>
    <row r="42" customFormat="false" ht="24" hidden="false" customHeight="true" outlineLevel="0" collapsed="false">
      <c r="A42" s="6" t="n">
        <v>39</v>
      </c>
      <c r="B42" s="6" t="s">
        <v>470</v>
      </c>
      <c r="C42" s="35" t="s">
        <v>471</v>
      </c>
      <c r="D42" s="50"/>
      <c r="E42" s="37" t="str">
        <f aca="false">IF(D42="","Type answer",IF(LOWER(TRIM(D42))="good night","Correct!","Ans: good night"))</f>
        <v>Type answer</v>
      </c>
    </row>
    <row r="43" customFormat="false" ht="24" hidden="false" customHeight="true" outlineLevel="0" collapsed="false">
      <c r="A43" s="21" t="n">
        <v>40</v>
      </c>
      <c r="B43" s="21" t="s">
        <v>145</v>
      </c>
      <c r="C43" s="38" t="s">
        <v>146</v>
      </c>
      <c r="D43" s="50"/>
      <c r="E43" s="39" t="str">
        <f aca="false">IF(D43="","Type answer",IF(LOWER(TRIM(D43))="interview","Correct!","Ans: interview"))</f>
        <v>Type answer</v>
      </c>
    </row>
    <row r="44" customFormat="false" ht="24" hidden="false" customHeight="true" outlineLevel="0" collapsed="false">
      <c r="A44" s="6" t="n">
        <v>41</v>
      </c>
      <c r="B44" s="6" t="s">
        <v>214</v>
      </c>
      <c r="C44" s="35" t="s">
        <v>443</v>
      </c>
      <c r="D44" s="50"/>
      <c r="E44" s="37" t="str">
        <f aca="false">IF(D44="","Type answer",IF(LOWER(TRIM(D44))="fourteen","Correct!","Ans: fourteen"))</f>
        <v>Type answer</v>
      </c>
    </row>
    <row r="45" customFormat="false" ht="24" hidden="false" customHeight="true" outlineLevel="0" collapsed="false">
      <c r="A45" s="21" t="n">
        <v>42</v>
      </c>
      <c r="B45" s="21" t="s">
        <v>198</v>
      </c>
      <c r="C45" s="38" t="s">
        <v>199</v>
      </c>
      <c r="D45" s="50"/>
      <c r="E45" s="39" t="str">
        <f aca="false">IF(D45="","Type answer",IF(LOWER(TRIM(D45))="period","Correct!","Ans: period / point"))</f>
        <v>Type answer</v>
      </c>
    </row>
    <row r="46" customFormat="false" ht="24" hidden="false" customHeight="true" outlineLevel="0" collapsed="false">
      <c r="A46" s="6" t="n">
        <v>43</v>
      </c>
      <c r="B46" s="6" t="s">
        <v>121</v>
      </c>
      <c r="C46" s="35" t="s">
        <v>506</v>
      </c>
      <c r="D46" s="50"/>
      <c r="E46" s="37" t="str">
        <f aca="false">IF(D46="","Type answer",IF(LOWER(TRIM(D46))="to know","Correct!","Ans: to know"))</f>
        <v>Type answer</v>
      </c>
    </row>
    <row r="47" customFormat="false" ht="24" hidden="false" customHeight="true" outlineLevel="0" collapsed="false">
      <c r="A47" s="21" t="n">
        <v>44</v>
      </c>
      <c r="B47" s="21" t="s">
        <v>431</v>
      </c>
      <c r="C47" s="38" t="s">
        <v>432</v>
      </c>
      <c r="D47" s="50"/>
      <c r="E47" s="39" t="str">
        <f aca="false">IF(D47="","Type answer",IF(LOWER(TRIM(D47))="nine","Correct!","Ans: nine"))</f>
        <v>Type answer</v>
      </c>
    </row>
    <row r="48" customFormat="false" ht="24" hidden="false" customHeight="true" outlineLevel="0" collapsed="false">
      <c r="A48" s="6" t="n">
        <v>45</v>
      </c>
      <c r="B48" s="6" t="s">
        <v>230</v>
      </c>
      <c r="C48" s="35" t="s">
        <v>231</v>
      </c>
      <c r="D48" s="50"/>
      <c r="E48" s="37" t="str">
        <f aca="false">IF(D48="","Type answer",IF(LOWER(TRIM(D48))="city","Correct!","Ans: city"))</f>
        <v>Type answer</v>
      </c>
    </row>
    <row r="49" customFormat="false" ht="24" hidden="false" customHeight="true" outlineLevel="0" collapsed="false">
      <c r="A49" s="21" t="n">
        <v>46</v>
      </c>
      <c r="B49" s="21" t="s">
        <v>545</v>
      </c>
      <c r="C49" s="38" t="s">
        <v>546</v>
      </c>
      <c r="D49" s="50"/>
      <c r="E49" s="39" t="str">
        <f aca="false">IF(D49="","Type answer",IF(LOWER(TRIM(D49))="to complete","Correct!","Ans: to complete"))</f>
        <v>Type answer</v>
      </c>
    </row>
    <row r="50" customFormat="false" ht="24" hidden="false" customHeight="true" outlineLevel="0" collapsed="false">
      <c r="A50" s="6" t="n">
        <v>47</v>
      </c>
      <c r="B50" s="6" t="s">
        <v>374</v>
      </c>
      <c r="C50" s="35" t="s">
        <v>375</v>
      </c>
      <c r="D50" s="50"/>
      <c r="E50" s="37" t="str">
        <f aca="false">IF(D50="","Type answer",IF(LOWER(TRIM(D50))="algeria","Correct!","Ans: Algeria"))</f>
        <v>Type answer</v>
      </c>
    </row>
    <row r="51" customFormat="false" ht="24" hidden="false" customHeight="true" outlineLevel="0" collapsed="false">
      <c r="A51" s="21" t="n">
        <v>48</v>
      </c>
      <c r="B51" s="21" t="s">
        <v>342</v>
      </c>
      <c r="C51" s="38" t="s">
        <v>399</v>
      </c>
      <c r="D51" s="50"/>
      <c r="E51" s="39" t="str">
        <f aca="false">IF(D51="","Type answer",IF(LOWER(TRIM(D51))="turkey","Correct!","Ans: Turkey"))</f>
        <v>Type answer</v>
      </c>
    </row>
    <row r="52" customFormat="false" ht="24" hidden="false" customHeight="true" outlineLevel="0" collapsed="false">
      <c r="A52" s="6" t="n">
        <v>49</v>
      </c>
      <c r="B52" s="6" t="s">
        <v>55</v>
      </c>
      <c r="C52" s="35" t="s">
        <v>59</v>
      </c>
      <c r="D52" s="50"/>
      <c r="E52" s="37" t="str">
        <f aca="false">IF(D52="","Type answer",IF(LOWER(TRIM(D52))="sausage","Correct!","Ans: sausage (Austrian)"))</f>
        <v>Type answer</v>
      </c>
    </row>
    <row r="53" customFormat="false" ht="24" hidden="false" customHeight="true" outlineLevel="0" collapsed="false">
      <c r="A53" s="21" t="n">
        <v>50</v>
      </c>
      <c r="B53" s="21" t="s">
        <v>616</v>
      </c>
      <c r="C53" s="38" t="s">
        <v>643</v>
      </c>
      <c r="D53" s="50"/>
      <c r="E53" s="39" t="str">
        <f aca="false">IF(D53="","Type answer",IF(LOWER(TRIM(D53))="from","Correct!","Ans: from"))</f>
        <v>Type answer</v>
      </c>
    </row>
    <row r="54" customFormat="false" ht="24" hidden="false" customHeight="true" outlineLevel="0" collapsed="false">
      <c r="A54" s="6" t="n">
        <v>51</v>
      </c>
      <c r="B54" s="6" t="s">
        <v>62</v>
      </c>
      <c r="C54" s="35" t="s">
        <v>63</v>
      </c>
      <c r="D54" s="50"/>
      <c r="E54" s="37" t="str">
        <f aca="false">IF(D54="","Type answer",IF(LOWER(TRIM(D54))="language","Correct!","Ans: language"))</f>
        <v>Type answer</v>
      </c>
    </row>
    <row r="55" customFormat="false" ht="24" hidden="false" customHeight="true" outlineLevel="0" collapsed="false">
      <c r="A55" s="21" t="n">
        <v>52</v>
      </c>
      <c r="B55" s="21" t="s">
        <v>457</v>
      </c>
      <c r="C55" s="38" t="s">
        <v>461</v>
      </c>
      <c r="D55" s="50"/>
      <c r="E55" s="39" t="str">
        <f aca="false">IF(D55="","Type answer",IF(LOWER(TRIM(D55))="hello","Correct!","Ans: hello"))</f>
        <v>Type answer</v>
      </c>
    </row>
    <row r="56" customFormat="false" ht="24" hidden="false" customHeight="true" outlineLevel="0" collapsed="false">
      <c r="A56" s="6" t="n">
        <v>53</v>
      </c>
      <c r="B56" s="6" t="s">
        <v>214</v>
      </c>
      <c r="C56" s="35" t="s">
        <v>453</v>
      </c>
      <c r="D56" s="50"/>
      <c r="E56" s="37" t="str">
        <f aca="false">IF(D56="","Type answer",IF(LOWER(TRIM(D56))="nineteen","Correct!","Ans: nineteen"))</f>
        <v>Type answer</v>
      </c>
    </row>
    <row r="57" customFormat="false" ht="24" hidden="false" customHeight="true" outlineLevel="0" collapsed="false">
      <c r="A57" s="21" t="n">
        <v>54</v>
      </c>
      <c r="B57" s="21" t="s">
        <v>79</v>
      </c>
      <c r="C57" s="38" t="s">
        <v>80</v>
      </c>
      <c r="D57" s="50"/>
      <c r="E57" s="39" t="str">
        <f aca="false">IF(D57="","Type answer",IF(LOWER(TRIM(D57))="person","Correct!","Ans: person"))</f>
        <v>Type answer</v>
      </c>
    </row>
    <row r="58" customFormat="false" ht="24" hidden="false" customHeight="true" outlineLevel="0" collapsed="false">
      <c r="A58" s="6" t="n">
        <v>55</v>
      </c>
      <c r="B58" s="6" t="s">
        <v>96</v>
      </c>
      <c r="C58" s="35" t="s">
        <v>97</v>
      </c>
      <c r="D58" s="50"/>
      <c r="E58" s="37" t="str">
        <f aca="false">IF(D58="","Type answer",IF(LOWER(TRIM(D58))="course poster","Correct!","Ans: course poster"))</f>
        <v>Type answer</v>
      </c>
    </row>
    <row r="59" customFormat="false" ht="24" hidden="false" customHeight="true" outlineLevel="0" collapsed="false">
      <c r="A59" s="21" t="n">
        <v>56</v>
      </c>
      <c r="B59" s="21" t="s">
        <v>434</v>
      </c>
      <c r="C59" s="38" t="s">
        <v>435</v>
      </c>
      <c r="D59" s="50"/>
      <c r="E59" s="39" t="str">
        <f aca="false">IF(D59="","Type answer",IF(LOWER(TRIM(D59))="ten","Correct!","Ans: ten"))</f>
        <v>Type answer</v>
      </c>
    </row>
    <row r="60" customFormat="false" ht="24" hidden="false" customHeight="true" outlineLevel="0" collapsed="false">
      <c r="A60" s="6" t="n">
        <v>57</v>
      </c>
      <c r="B60" s="6" t="s">
        <v>55</v>
      </c>
      <c r="C60" s="35" t="s">
        <v>56</v>
      </c>
      <c r="D60" s="50"/>
      <c r="E60" s="37" t="str">
        <f aca="false">IF(D60="","Type answer",IF(LOWER(TRIM(D60))="sausage","Correct!","Ans: sausage (small)"))</f>
        <v>Type answer</v>
      </c>
    </row>
    <row r="61" customFormat="false" ht="24" hidden="false" customHeight="true" outlineLevel="0" collapsed="false">
      <c r="A61" s="21" t="n">
        <v>58</v>
      </c>
      <c r="B61" s="21" t="s">
        <v>457</v>
      </c>
      <c r="C61" s="38" t="s">
        <v>535</v>
      </c>
      <c r="D61" s="50"/>
      <c r="E61" s="39" t="str">
        <f aca="false">IF(D61="","Type answer",IF(LOWER(TRIM(D61))="to greet","Correct!","Ans: to greet"))</f>
        <v>Type answer</v>
      </c>
    </row>
    <row r="62" customFormat="false" ht="24" hidden="false" customHeight="true" outlineLevel="0" collapsed="false">
      <c r="A62" s="6" t="n">
        <v>59</v>
      </c>
      <c r="B62" s="6" t="s">
        <v>62</v>
      </c>
      <c r="C62" s="35" t="s">
        <v>516</v>
      </c>
      <c r="D62" s="50"/>
      <c r="E62" s="37" t="str">
        <f aca="false">IF(D62="","Type answer",IF(LOWER(TRIM(D62))="to say","Correct!","Ans: to say"))</f>
        <v>Type answer</v>
      </c>
    </row>
    <row r="63" customFormat="false" ht="24" hidden="false" customHeight="true" outlineLevel="0" collapsed="false">
      <c r="A63" s="21" t="n">
        <v>60</v>
      </c>
      <c r="B63" s="21" t="s">
        <v>214</v>
      </c>
      <c r="C63" s="38" t="s">
        <v>447</v>
      </c>
      <c r="D63" s="50"/>
      <c r="E63" s="39" t="str">
        <f aca="false">IF(D63="","Type answer",IF(LOWER(TRIM(D63))="sixteen","Correct!","Ans: sixteen"))</f>
        <v>Type answer</v>
      </c>
    </row>
    <row r="64" customFormat="false" ht="24" hidden="false" customHeight="true" outlineLevel="0" collapsed="false">
      <c r="A64" s="6" t="n">
        <v>61</v>
      </c>
      <c r="B64" s="6" t="s">
        <v>571</v>
      </c>
      <c r="C64" s="35" t="s">
        <v>572</v>
      </c>
      <c r="D64" s="50"/>
      <c r="E64" s="37" t="str">
        <f aca="false">IF(D64="","Type answer",IF(LOWER(TRIM(D64))="short","Correct!","Ans: short"))</f>
        <v>Type answer</v>
      </c>
    </row>
    <row r="65" customFormat="false" ht="24" hidden="false" customHeight="true" outlineLevel="0" collapsed="false">
      <c r="A65" s="21" t="n">
        <v>62</v>
      </c>
      <c r="B65" s="21" t="s">
        <v>528</v>
      </c>
      <c r="C65" s="38" t="s">
        <v>529</v>
      </c>
      <c r="D65" s="50"/>
      <c r="E65" s="39" t="str">
        <f aca="false">IF(D65="","Type answer",IF(LOWER(TRIM(D65))="to assign","Correct!","Ans: to assign / match"))</f>
        <v>Type answer</v>
      </c>
    </row>
    <row r="66" customFormat="false" ht="24" hidden="false" customHeight="true" outlineLevel="0" collapsed="false">
      <c r="A66" s="6" t="n">
        <v>63</v>
      </c>
      <c r="B66" s="6" t="s">
        <v>214</v>
      </c>
      <c r="C66" s="35" t="s">
        <v>437</v>
      </c>
      <c r="D66" s="50"/>
      <c r="E66" s="37" t="str">
        <f aca="false">IF(D66="","Type answer",IF(LOWER(TRIM(D66))="eleven","Correct!","Ans: eleven"))</f>
        <v>Type answer</v>
      </c>
    </row>
    <row r="67" customFormat="false" ht="24" hidden="false" customHeight="true" outlineLevel="0" collapsed="false">
      <c r="A67" s="21" t="n">
        <v>64</v>
      </c>
      <c r="B67" s="21" t="s">
        <v>84</v>
      </c>
      <c r="C67" s="38" t="s">
        <v>85</v>
      </c>
      <c r="D67" s="50"/>
      <c r="E67" s="39" t="str">
        <f aca="false">IF(D67="","Type answer",IF(LOWER(TRIM(D67))="situation","Correct!","Ans: situation"))</f>
        <v>Type answer</v>
      </c>
    </row>
    <row r="68" customFormat="false" ht="24" hidden="false" customHeight="true" outlineLevel="0" collapsed="false">
      <c r="A68" s="6" t="n">
        <v>65</v>
      </c>
      <c r="B68" s="6" t="s">
        <v>351</v>
      </c>
      <c r="C68" s="35" t="s">
        <v>352</v>
      </c>
      <c r="D68" s="50"/>
      <c r="E68" s="37" t="str">
        <f aca="false">IF(D68="","Type answer",IF(LOWER(TRIM(D68))="french","Correct!","Ans: French"))</f>
        <v>Type answer</v>
      </c>
    </row>
    <row r="69" customFormat="false" ht="24" hidden="false" customHeight="true" outlineLevel="0" collapsed="false">
      <c r="A69" s="21" t="n">
        <v>66</v>
      </c>
      <c r="B69" s="21" t="s">
        <v>396</v>
      </c>
      <c r="C69" s="38" t="s">
        <v>397</v>
      </c>
      <c r="D69" s="50"/>
      <c r="E69" s="39" t="str">
        <f aca="false">IF(D69="","Type answer",IF(LOWER(TRIM(D69))="switzerland","Correct!","Ans: Switzerland"))</f>
        <v>Type answer</v>
      </c>
    </row>
    <row r="70" customFormat="false" ht="24" hidden="false" customHeight="true" outlineLevel="0" collapsed="false">
      <c r="A70" s="6" t="n">
        <v>67</v>
      </c>
      <c r="B70" s="6" t="s">
        <v>580</v>
      </c>
      <c r="C70" s="35" t="s">
        <v>581</v>
      </c>
      <c r="D70" s="50"/>
      <c r="E70" s="37" t="str">
        <f aca="false">IF(D70="","Type answer",IF(LOWER(TRIM(D70))="also","Correct!","Ans: also"))</f>
        <v>Type answer</v>
      </c>
    </row>
    <row r="71" customFormat="false" ht="24" hidden="false" customHeight="true" outlineLevel="0" collapsed="false">
      <c r="A71" s="21" t="n">
        <v>68</v>
      </c>
      <c r="B71" s="21" t="s">
        <v>112</v>
      </c>
      <c r="C71" s="38" t="s">
        <v>511</v>
      </c>
      <c r="D71" s="50"/>
      <c r="E71" s="39" t="str">
        <f aca="false">IF(D71="","Type answer",IF(LOWER(TRIM(D71))="to read","Correct!","Ans: to read"))</f>
        <v>Type answer</v>
      </c>
    </row>
    <row r="72" customFormat="false" ht="24" hidden="false" customHeight="true" outlineLevel="0" collapsed="false">
      <c r="A72" s="6" t="n">
        <v>69</v>
      </c>
      <c r="B72" s="6" t="s">
        <v>30</v>
      </c>
      <c r="C72" s="35" t="s">
        <v>31</v>
      </c>
      <c r="D72" s="50"/>
      <c r="E72" s="37" t="str">
        <f aca="false">IF(D72="","Type answer",IF(LOWER(TRIM(D72))="towel","Correct!","Ans: towel"))</f>
        <v>Type answer</v>
      </c>
    </row>
    <row r="73" customFormat="false" ht="24" hidden="false" customHeight="true" outlineLevel="0" collapsed="false">
      <c r="A73" s="21" t="n">
        <v>70</v>
      </c>
      <c r="B73" s="21" t="s">
        <v>404</v>
      </c>
      <c r="C73" s="38" t="s">
        <v>405</v>
      </c>
      <c r="D73" s="50"/>
      <c r="E73" s="39" t="str">
        <f aca="false">IF(D73="","Type answer",IF(LOWER(TRIM(D73))="zero","Correct!","Ans: zero"))</f>
        <v>Type answer</v>
      </c>
    </row>
    <row r="74" customFormat="false" ht="24" hidden="false" customHeight="true" outlineLevel="0" collapsed="false">
      <c r="A74" s="6" t="n">
        <v>71</v>
      </c>
      <c r="B74" s="6" t="s">
        <v>521</v>
      </c>
      <c r="C74" s="35" t="s">
        <v>642</v>
      </c>
      <c r="D74" s="50"/>
      <c r="E74" s="37" t="str">
        <f aca="false">IF(D74="","Type answer",IF(LOWER(TRIM(D74))="in","Correct!","Ans: in"))</f>
        <v>Type answer</v>
      </c>
    </row>
    <row r="75" customFormat="false" ht="24" hidden="false" customHeight="true" outlineLevel="0" collapsed="false">
      <c r="A75" s="21" t="n">
        <v>72</v>
      </c>
      <c r="B75" s="21" t="s">
        <v>419</v>
      </c>
      <c r="C75" s="38" t="s">
        <v>420</v>
      </c>
      <c r="D75" s="50"/>
      <c r="E75" s="39" t="str">
        <f aca="false">IF(D75="","Type answer",IF(LOWER(TRIM(D75))="five","Correct!","Ans: five"))</f>
        <v>Type answer</v>
      </c>
    </row>
    <row r="76" customFormat="false" ht="24" hidden="false" customHeight="true" outlineLevel="0" collapsed="false">
      <c r="A76" s="6" t="n">
        <v>73</v>
      </c>
      <c r="B76" s="6" t="s">
        <v>616</v>
      </c>
      <c r="C76" s="35" t="s">
        <v>617</v>
      </c>
      <c r="D76" s="50"/>
      <c r="E76" s="37" t="str">
        <f aca="false">IF(D76="","Type answer",IF(LOWER(TRIM(D76))="where","Correct!","Ans: where"))</f>
        <v>Type answer</v>
      </c>
    </row>
    <row r="77" customFormat="false" ht="24" hidden="false" customHeight="true" outlineLevel="0" collapsed="false">
      <c r="A77" s="21" t="n">
        <v>74</v>
      </c>
      <c r="B77" s="21" t="s">
        <v>491</v>
      </c>
      <c r="C77" s="38" t="s">
        <v>492</v>
      </c>
      <c r="D77" s="50"/>
      <c r="E77" s="39" t="str">
        <f aca="false">IF(D77="","Type answer",IF(LOWER(TRIM(D77))="to go","Correct!","Ans: to go"))</f>
        <v>Type answer</v>
      </c>
    </row>
    <row r="78" customFormat="false" ht="24" hidden="false" customHeight="true" outlineLevel="0" collapsed="false">
      <c r="A78" s="6" t="n">
        <v>75</v>
      </c>
      <c r="B78" s="6" t="s">
        <v>333</v>
      </c>
      <c r="C78" s="35" t="s">
        <v>334</v>
      </c>
      <c r="D78" s="50"/>
      <c r="E78" s="37" t="str">
        <f aca="false">IF(D78="","Type answer",IF(LOWER(TRIM(D78))="japanese","Correct!","Ans: Japanese"))</f>
        <v>Type answer</v>
      </c>
    </row>
    <row r="79" customFormat="false" ht="24" hidden="false" customHeight="true" outlineLevel="0" collapsed="false">
      <c r="A79" s="21" t="n">
        <v>76</v>
      </c>
      <c r="B79" s="21" t="s">
        <v>214</v>
      </c>
      <c r="C79" s="38" t="s">
        <v>439</v>
      </c>
      <c r="D79" s="50"/>
      <c r="E79" s="39" t="str">
        <f aca="false">IF(D79="","Type answer",IF(LOWER(TRIM(D79))="twelve","Correct!","Ans: twelve"))</f>
        <v>Type answer</v>
      </c>
    </row>
    <row r="80" customFormat="false" ht="24" hidden="false" customHeight="true" outlineLevel="0" collapsed="false">
      <c r="A80" s="6" t="n">
        <v>77</v>
      </c>
      <c r="B80" s="6" t="s">
        <v>422</v>
      </c>
      <c r="C80" s="35" t="s">
        <v>423</v>
      </c>
      <c r="D80" s="50"/>
      <c r="E80" s="37" t="str">
        <f aca="false">IF(D80="","Type answer",IF(LOWER(TRIM(D80))="six","Correct!","Ans: six"))</f>
        <v>Type answer</v>
      </c>
    </row>
    <row r="81" customFormat="false" ht="24" hidden="false" customHeight="true" outlineLevel="0" collapsed="false">
      <c r="A81" s="21" t="n">
        <v>78</v>
      </c>
      <c r="B81" s="21" t="s">
        <v>25</v>
      </c>
      <c r="C81" s="38" t="s">
        <v>26</v>
      </c>
      <c r="D81" s="50"/>
      <c r="E81" s="39" t="str">
        <f aca="false">IF(D81="","Type answer",IF(LOWER(TRIM(D81))="bottle","Correct!","Ans: bottle"))</f>
        <v>Type answer</v>
      </c>
    </row>
    <row r="82" customFormat="false" ht="24" hidden="false" customHeight="true" outlineLevel="0" collapsed="false">
      <c r="A82" s="6" t="n">
        <v>79</v>
      </c>
      <c r="B82" s="6" t="s">
        <v>68</v>
      </c>
      <c r="C82" s="35" t="s">
        <v>69</v>
      </c>
      <c r="D82" s="50"/>
      <c r="E82" s="37" t="str">
        <f aca="false">IF(D82="","Type answer",IF(LOWER(TRIM(D82))="word","Correct!","Ans: word"))</f>
        <v>Type answer</v>
      </c>
    </row>
    <row r="83" customFormat="false" ht="24" hidden="false" customHeight="true" outlineLevel="0" collapsed="false">
      <c r="A83" s="21" t="n">
        <v>80</v>
      </c>
      <c r="B83" s="21" t="s">
        <v>473</v>
      </c>
      <c r="C83" s="38" t="s">
        <v>474</v>
      </c>
      <c r="D83" s="50"/>
      <c r="E83" s="39" t="str">
        <f aca="false">IF(D83="","Type answer",IF(LOWER(TRIM(D83))="good evening","Correct!","Ans: good evening"))</f>
        <v>Type answer</v>
      </c>
    </row>
    <row r="84" customFormat="false" ht="24" hidden="false" customHeight="true" outlineLevel="0" collapsed="false">
      <c r="A84" s="6" t="n">
        <v>81</v>
      </c>
      <c r="B84" s="6" t="s">
        <v>208</v>
      </c>
      <c r="C84" s="35" t="s">
        <v>209</v>
      </c>
      <c r="D84" s="50"/>
      <c r="E84" s="37" t="str">
        <f aca="false">IF(D84="","Type answer",IF(LOWER(TRIM(D84))="dialogue","Correct!","Ans: dialogue"))</f>
        <v>Type answer</v>
      </c>
    </row>
    <row r="85" customFormat="false" ht="24" hidden="false" customHeight="true" outlineLevel="0" collapsed="false">
      <c r="A85" s="21" t="n">
        <v>82</v>
      </c>
      <c r="B85" s="21" t="s">
        <v>574</v>
      </c>
      <c r="C85" s="38" t="s">
        <v>575</v>
      </c>
      <c r="D85" s="50"/>
      <c r="E85" s="39" t="str">
        <f aca="false">IF(D85="","Type answer",IF(LOWER(TRIM(D85))="well-known","Correct!","Ans: well-known"))</f>
        <v>Type answer</v>
      </c>
    </row>
    <row r="86" customFormat="false" ht="24" hidden="false" customHeight="true" outlineLevel="0" collapsed="false">
      <c r="A86" s="6" t="n">
        <v>83</v>
      </c>
      <c r="B86" s="6" t="s">
        <v>73</v>
      </c>
      <c r="C86" s="35" t="s">
        <v>74</v>
      </c>
      <c r="D86" s="50"/>
      <c r="E86" s="37" t="str">
        <f aca="false">IF(D86="","Type answer",IF(LOWER(TRIM(D86))="apology","Correct!","Ans: apology / excuse me"))</f>
        <v>Type answer</v>
      </c>
    </row>
    <row r="87" customFormat="false" ht="24" hidden="false" customHeight="true" outlineLevel="0" collapsed="false">
      <c r="A87" s="21" t="n">
        <v>84</v>
      </c>
      <c r="B87" s="21" t="s">
        <v>416</v>
      </c>
      <c r="C87" s="38" t="s">
        <v>417</v>
      </c>
      <c r="D87" s="50"/>
      <c r="E87" s="39" t="str">
        <f aca="false">IF(D87="","Type answer",IF(LOWER(TRIM(D87))="four","Correct!","Ans: four"))</f>
        <v>Type answer</v>
      </c>
    </row>
    <row r="88" customFormat="false" ht="24" hidden="false" customHeight="true" outlineLevel="0" collapsed="false">
      <c r="A88" s="6" t="n">
        <v>85</v>
      </c>
      <c r="B88" s="6" t="s">
        <v>457</v>
      </c>
      <c r="C88" s="35" t="s">
        <v>465</v>
      </c>
      <c r="D88" s="50"/>
      <c r="E88" s="37" t="str">
        <f aca="false">IF(D88="","Type answer",IF(LOWER(TRIM(D88))="bye","Correct!","Ans: bye"))</f>
        <v>Type answer</v>
      </c>
    </row>
    <row r="89" customFormat="false" ht="24" hidden="false" customHeight="true" outlineLevel="0" collapsed="false">
      <c r="A89" s="21" t="n">
        <v>86</v>
      </c>
      <c r="B89" s="21" t="s">
        <v>616</v>
      </c>
      <c r="C89" s="38" t="s">
        <v>645</v>
      </c>
      <c r="D89" s="50"/>
      <c r="E89" s="39" t="str">
        <f aca="false">IF(D89="","Type answer",IF(LOWER(TRIM(D89))="in","Correct!","Ans: in / on"))</f>
        <v>Type answer</v>
      </c>
    </row>
    <row r="90" customFormat="false" ht="24" hidden="false" customHeight="true" outlineLevel="0" collapsed="false">
      <c r="A90" s="6" t="n">
        <v>87</v>
      </c>
      <c r="B90" s="6" t="s">
        <v>508</v>
      </c>
      <c r="C90" s="35" t="s">
        <v>509</v>
      </c>
      <c r="D90" s="50"/>
      <c r="E90" s="37" t="str">
        <f aca="false">IF(D90="","Type answer",IF(LOWER(TRIM(D90))="to hear","Correct!","Ans: to hear"))</f>
        <v>Type answer</v>
      </c>
    </row>
    <row r="91" customFormat="false" ht="24" hidden="false" customHeight="true" outlineLevel="0" collapsed="false">
      <c r="A91" s="21" t="n">
        <v>88</v>
      </c>
      <c r="B91" s="21" t="s">
        <v>359</v>
      </c>
      <c r="C91" s="38" t="s">
        <v>360</v>
      </c>
      <c r="D91" s="50"/>
      <c r="E91" s="39" t="str">
        <f aca="false">IF(D91="","Type answer",IF(LOWER(TRIM(D91))="portugese","Correct!","Ans: Portugese"))</f>
        <v>Type answer</v>
      </c>
    </row>
    <row r="92" customFormat="false" ht="24" hidden="false" customHeight="true" outlineLevel="0" collapsed="false">
      <c r="A92" s="6" t="n">
        <v>89</v>
      </c>
      <c r="B92" s="6" t="s">
        <v>384</v>
      </c>
      <c r="C92" s="35" t="s">
        <v>385</v>
      </c>
      <c r="D92" s="50"/>
      <c r="E92" s="37" t="str">
        <f aca="false">IF(D92="","Type answer",IF(LOWER(TRIM(D92))="mexico","Correct!","Ans: Mexico"))</f>
        <v>Type answer</v>
      </c>
    </row>
    <row r="93" customFormat="false" ht="24" hidden="false" customHeight="true" outlineLevel="0" collapsed="false">
      <c r="A93" s="21" t="n">
        <v>90</v>
      </c>
      <c r="B93" s="21" t="s">
        <v>647</v>
      </c>
      <c r="C93" s="38" t="s">
        <v>648</v>
      </c>
      <c r="D93" s="50"/>
      <c r="E93" s="39" t="str">
        <f aca="false">IF(D93="","Type answer",IF(LOWER(TRIM(D93))="a little","Correct!","Ans: a little"))</f>
        <v>Type answer</v>
      </c>
    </row>
    <row r="94" customFormat="false" ht="24" hidden="false" customHeight="true" outlineLevel="0" collapsed="false">
      <c r="A94" s="6" t="n">
        <v>91</v>
      </c>
      <c r="B94" s="6" t="s">
        <v>175</v>
      </c>
      <c r="C94" s="35" t="s">
        <v>176</v>
      </c>
      <c r="D94" s="50"/>
      <c r="E94" s="37" t="str">
        <f aca="false">IF(D94="","Type answer",IF(LOWER(TRIM(D94))="phone number","Correct!","Ans: phone number"))</f>
        <v>Type answer</v>
      </c>
    </row>
    <row r="95" customFormat="false" ht="24" hidden="false" customHeight="true" outlineLevel="0" collapsed="false">
      <c r="A95" s="21" t="n">
        <v>92</v>
      </c>
      <c r="B95" s="21" t="s">
        <v>632</v>
      </c>
      <c r="C95" s="38" t="s">
        <v>633</v>
      </c>
      <c r="D95" s="50"/>
      <c r="E95" s="39" t="str">
        <f aca="false">IF(D95="","Type answer",IF(LOWER(TRIM(D95))="my","Correct!","Ans: my"))</f>
        <v>Type answer</v>
      </c>
    </row>
    <row r="96" customFormat="false" ht="24" hidden="false" customHeight="true" outlineLevel="0" collapsed="false">
      <c r="A96" s="6" t="n">
        <v>93</v>
      </c>
      <c r="B96" s="6" t="s">
        <v>339</v>
      </c>
      <c r="C96" s="35" t="s">
        <v>340</v>
      </c>
      <c r="D96" s="50"/>
      <c r="E96" s="37" t="str">
        <f aca="false">IF(D96="","Type answer",IF(LOWER(TRIM(D96))="serbian","Correct!","Ans: Serbian"))</f>
        <v>Type answer</v>
      </c>
    </row>
    <row r="97" customFormat="false" ht="24" hidden="false" customHeight="true" outlineLevel="0" collapsed="false">
      <c r="A97" s="21" t="n">
        <v>94</v>
      </c>
      <c r="B97" s="21" t="s">
        <v>62</v>
      </c>
      <c r="C97" s="38" t="s">
        <v>247</v>
      </c>
      <c r="D97" s="50"/>
      <c r="E97" s="39" t="str">
        <f aca="false">IF(D97="","Type answer",IF(LOWER(TRIM(D97))="useful phrases","Correct!","Ans: useful phrases"))</f>
        <v>Type answer</v>
      </c>
    </row>
    <row r="98" customFormat="false" ht="24" hidden="false" customHeight="true" outlineLevel="0" collapsed="false">
      <c r="A98" s="6" t="n">
        <v>95</v>
      </c>
      <c r="B98" s="6" t="s">
        <v>41</v>
      </c>
      <c r="C98" s="35" t="s">
        <v>42</v>
      </c>
      <c r="D98" s="50"/>
      <c r="E98" s="37" t="str">
        <f aca="false">IF(D98="","Type answer",IF(LOWER(TRIM(D98))="suitcase","Correct!","Ans: suitcase"))</f>
        <v>Type answer</v>
      </c>
    </row>
    <row r="99" customFormat="false" ht="24" hidden="false" customHeight="true" outlineLevel="0" collapsed="false">
      <c r="A99" s="21" t="n">
        <v>96</v>
      </c>
      <c r="B99" s="21" t="s">
        <v>513</v>
      </c>
      <c r="C99" s="38" t="s">
        <v>514</v>
      </c>
      <c r="D99" s="50"/>
      <c r="E99" s="39" t="str">
        <f aca="false">IF(D99="","Type answer",IF(LOWER(TRIM(D99))="to write","Correct!","Ans: to write"))</f>
        <v>Type answer</v>
      </c>
    </row>
    <row r="100" customFormat="false" ht="24" hidden="false" customHeight="true" outlineLevel="0" collapsed="false">
      <c r="A100" s="6" t="n">
        <v>97</v>
      </c>
      <c r="B100" s="6" t="s">
        <v>362</v>
      </c>
      <c r="C100" s="35" t="s">
        <v>363</v>
      </c>
      <c r="D100" s="50"/>
      <c r="E100" s="37" t="str">
        <f aca="false">IF(D100="","Type answer",IF(LOWER(TRIM(D100))="arabic","Correct!","Ans: Arabic"))</f>
        <v>Type answer</v>
      </c>
    </row>
    <row r="101" customFormat="false" ht="24" hidden="false" customHeight="true" outlineLevel="0" collapsed="false">
      <c r="A101" s="21" t="n">
        <v>98</v>
      </c>
      <c r="B101" s="21" t="s">
        <v>45</v>
      </c>
      <c r="C101" s="38" t="s">
        <v>46</v>
      </c>
      <c r="D101" s="50"/>
      <c r="E101" s="39" t="str">
        <f aca="false">IF(D101="","Type answer",IF(LOWER(TRIM(D101))="sick person","Correct!","Ans: sick person"))</f>
        <v>Type answer</v>
      </c>
    </row>
    <row r="102" customFormat="false" ht="24" hidden="false" customHeight="true" outlineLevel="0" collapsed="false">
      <c r="A102" s="6" t="n">
        <v>99</v>
      </c>
      <c r="B102" s="6" t="s">
        <v>35</v>
      </c>
      <c r="C102" s="35" t="s">
        <v>36</v>
      </c>
      <c r="D102" s="50"/>
      <c r="E102" s="37" t="str">
        <f aca="false">IF(D102="","Type answer",IF(LOWER(TRIM(D102))="kindergarten","Correct!","Ans: kindergarten"))</f>
        <v>Type answer</v>
      </c>
    </row>
    <row r="103" customFormat="false" ht="24" hidden="false" customHeight="true" outlineLevel="0" collapsed="false">
      <c r="A103" s="21" t="n">
        <v>100</v>
      </c>
      <c r="B103" s="21" t="s">
        <v>19</v>
      </c>
      <c r="C103" s="38" t="s">
        <v>20</v>
      </c>
      <c r="D103" s="50"/>
      <c r="E103" s="39" t="str">
        <f aca="false">IF(D103="","Type answer",IF(LOWER(TRIM(D103))="sandwich","Correct!","Ans: sandwich"))</f>
        <v>Type answer</v>
      </c>
    </row>
    <row r="104" customFormat="false" ht="24" hidden="false" customHeight="true" outlineLevel="0" collapsed="false">
      <c r="A104" s="6" t="n">
        <v>101</v>
      </c>
      <c r="B104" s="6" t="s">
        <v>619</v>
      </c>
      <c r="C104" s="35" t="s">
        <v>620</v>
      </c>
      <c r="D104" s="50"/>
      <c r="E104" s="37" t="str">
        <f aca="false">IF(D104="","Type answer",IF(LOWER(TRIM(D104))="from where","Correct!","Ans: from where"))</f>
        <v>Type answer</v>
      </c>
    </row>
    <row r="105" customFormat="false" ht="24" hidden="false" customHeight="true" outlineLevel="0" collapsed="false">
      <c r="A105" s="21" t="n">
        <v>102</v>
      </c>
      <c r="B105" s="21" t="s">
        <v>485</v>
      </c>
      <c r="C105" s="38" t="s">
        <v>486</v>
      </c>
      <c r="D105" s="50"/>
      <c r="E105" s="39" t="str">
        <f aca="false">IF(D105="","Type answer",IF(LOWER(TRIM(D105))="to be","Correct!","Ans: to be"))</f>
        <v>Type answer</v>
      </c>
    </row>
    <row r="106" customFormat="false" ht="24" hidden="false" customHeight="true" outlineLevel="0" collapsed="false">
      <c r="A106" s="6" t="n">
        <v>103</v>
      </c>
      <c r="B106" s="6" t="s">
        <v>102</v>
      </c>
      <c r="C106" s="35" t="s">
        <v>103</v>
      </c>
      <c r="D106" s="50"/>
      <c r="E106" s="37" t="str">
        <f aca="false">IF(D106="","Type answer",IF(LOWER(TRIM(D106))="last name","Correct!","Ans: last name"))</f>
        <v>Type answer</v>
      </c>
    </row>
    <row r="107" customFormat="false" ht="24" hidden="false" customHeight="true" outlineLevel="0" collapsed="false">
      <c r="A107" s="21" t="n">
        <v>104</v>
      </c>
      <c r="B107" s="21" t="s">
        <v>214</v>
      </c>
      <c r="C107" s="38" t="s">
        <v>441</v>
      </c>
      <c r="D107" s="50"/>
      <c r="E107" s="39" t="str">
        <f aca="false">IF(D107="","Type answer",IF(LOWER(TRIM(D107))="thirteen","Correct!","Ans: thirteen"))</f>
        <v>Type answer</v>
      </c>
    </row>
    <row r="108" customFormat="false" ht="24" hidden="false" customHeight="true" outlineLevel="0" collapsed="false">
      <c r="A108" s="6" t="n">
        <v>105</v>
      </c>
      <c r="B108" s="6" t="s">
        <v>90</v>
      </c>
      <c r="C108" s="35" t="s">
        <v>483</v>
      </c>
      <c r="D108" s="50"/>
      <c r="E108" s="37" t="str">
        <f aca="false">IF(D108="","Type answer",IF(LOWER(TRIM(D108))="to be called","Correct!","Ans: to be called"))</f>
        <v>Type answer</v>
      </c>
    </row>
    <row r="109" customFormat="false" ht="24" hidden="false" customHeight="true" outlineLevel="0" collapsed="false">
      <c r="A109" s="21" t="n">
        <v>106</v>
      </c>
      <c r="B109" s="21" t="s">
        <v>580</v>
      </c>
      <c r="C109" s="38" t="s">
        <v>625</v>
      </c>
      <c r="D109" s="50"/>
      <c r="E109" s="39" t="str">
        <f aca="false">IF(D109="","Type answer",IF(LOWER(TRIM(D109))="and","Correct!","Ans: and"))</f>
        <v>Type answer</v>
      </c>
    </row>
    <row r="110" customFormat="false" ht="24" hidden="false" customHeight="true" outlineLevel="0" collapsed="false">
      <c r="A110" s="6" t="n">
        <v>107</v>
      </c>
      <c r="B110" s="6" t="s">
        <v>359</v>
      </c>
      <c r="C110" s="35" t="s">
        <v>387</v>
      </c>
      <c r="D110" s="50"/>
      <c r="E110" s="37" t="str">
        <f aca="false">IF(D110="","Type answer",IF(LOWER(TRIM(D110))="portugal","Correct!","Ans: Portugal"))</f>
        <v>Type answer</v>
      </c>
    </row>
    <row r="111" customFormat="false" ht="24" hidden="false" customHeight="true" outlineLevel="0" collapsed="false">
      <c r="A111" s="21" t="n">
        <v>108</v>
      </c>
      <c r="B111" s="21" t="s">
        <v>155</v>
      </c>
      <c r="C111" s="38" t="s">
        <v>156</v>
      </c>
      <c r="D111" s="50"/>
      <c r="E111" s="39" t="str">
        <f aca="false">IF(D111="","Type answer",IF(LOWER(TRIM(D111))="partner","Correct!","Ans: partner (m)"))</f>
        <v>Type answer</v>
      </c>
    </row>
    <row r="112" customFormat="false" ht="24" hidden="false" customHeight="true" outlineLevel="0" collapsed="false">
      <c r="A112" s="6" t="n">
        <v>109</v>
      </c>
      <c r="B112" s="6" t="s">
        <v>169</v>
      </c>
      <c r="C112" s="35" t="s">
        <v>170</v>
      </c>
      <c r="D112" s="50"/>
      <c r="E112" s="37" t="str">
        <f aca="false">IF(D112="","Type answer",IF(LOWER(TRIM(D112))="mobile number","Correct!","Ans: mobile number"))</f>
        <v>Type answer</v>
      </c>
    </row>
    <row r="113" customFormat="false" ht="24" hidden="false" customHeight="true" outlineLevel="0" collapsed="false">
      <c r="A113" s="21" t="n">
        <v>110</v>
      </c>
      <c r="B113" s="21" t="s">
        <v>121</v>
      </c>
      <c r="C113" s="38" t="s">
        <v>526</v>
      </c>
      <c r="D113" s="50"/>
      <c r="E113" s="39" t="str">
        <f aca="false">IF(D113="","Type answer",IF(LOWER(TRIM(D113))="to understand","Correct!","Ans: to understand"))</f>
        <v>Type answer</v>
      </c>
    </row>
    <row r="114" customFormat="false" ht="24" hidden="false" customHeight="true" outlineLevel="0" collapsed="false">
      <c r="A114" s="6" t="n">
        <v>111</v>
      </c>
      <c r="B114" s="6" t="s">
        <v>348</v>
      </c>
      <c r="C114" s="35" t="s">
        <v>394</v>
      </c>
      <c r="D114" s="50"/>
      <c r="E114" s="37" t="str">
        <f aca="false">IF(D114="","Type answer",IF(LOWER(TRIM(D114))="spain","Correct!","Ans: Spain"))</f>
        <v>Type answer</v>
      </c>
    </row>
    <row r="115" customFormat="false" ht="24" hidden="false" customHeight="true" outlineLevel="0" collapsed="false">
      <c r="A115" s="21" t="n">
        <v>112</v>
      </c>
      <c r="B115" s="21" t="s">
        <v>635</v>
      </c>
      <c r="C115" s="38" t="s">
        <v>636</v>
      </c>
      <c r="D115" s="50"/>
      <c r="E115" s="39" t="str">
        <f aca="false">IF(D115="","Type answer",IF(LOWER(TRIM(D115))="mr","Correct!","Ans: Mr"))</f>
        <v>Type answer</v>
      </c>
    </row>
    <row r="116" customFormat="false" ht="24" hidden="false" customHeight="true" outlineLevel="0" collapsed="false">
      <c r="A116" s="6" t="n">
        <v>113</v>
      </c>
      <c r="B116" s="6" t="s">
        <v>214</v>
      </c>
      <c r="C116" s="35" t="s">
        <v>445</v>
      </c>
      <c r="D116" s="50"/>
      <c r="E116" s="37" t="str">
        <f aca="false">IF(D116="","Type answer",IF(LOWER(TRIM(D116))="fifteen","Correct!","Ans: fifteen"))</f>
        <v>Type answer</v>
      </c>
    </row>
    <row r="117" customFormat="false" ht="24" hidden="false" customHeight="true" outlineLevel="0" collapsed="false">
      <c r="A117" s="21" t="n">
        <v>114</v>
      </c>
      <c r="B117" s="21" t="s">
        <v>68</v>
      </c>
      <c r="C117" s="38" t="s">
        <v>548</v>
      </c>
      <c r="D117" s="50"/>
      <c r="E117" s="39" t="str">
        <f aca="false">IF(D117="","Type answer",IF(LOWER(TRIM(D117))="to note","Correct!","Ans: to note"))</f>
        <v>Type answer</v>
      </c>
    </row>
    <row r="118" customFormat="false" ht="24" hidden="false" customHeight="true" outlineLevel="0" collapsed="false">
      <c r="A118" s="6" t="n">
        <v>115</v>
      </c>
      <c r="B118" s="6" t="s">
        <v>214</v>
      </c>
      <c r="C118" s="35" t="s">
        <v>449</v>
      </c>
      <c r="D118" s="50"/>
      <c r="E118" s="37" t="str">
        <f aca="false">IF(D118="","Type answer",IF(LOWER(TRIM(D118))="seventeen","Correct!","Ans: seventeen"))</f>
        <v>Type answer</v>
      </c>
    </row>
    <row r="119" customFormat="false" ht="24" hidden="false" customHeight="true" outlineLevel="0" collapsed="false">
      <c r="A119" s="21" t="n">
        <v>116</v>
      </c>
      <c r="B119" s="21" t="s">
        <v>457</v>
      </c>
      <c r="C119" s="38" t="s">
        <v>468</v>
      </c>
      <c r="D119" s="50"/>
      <c r="E119" s="39" t="str">
        <f aca="false">IF(D119="","Type answer",IF(LOWER(TRIM(D119))="goodbye","Correct!","Ans: goodbye"))</f>
        <v>Type answer</v>
      </c>
    </row>
    <row r="120" customFormat="false" ht="24" hidden="false" customHeight="true" outlineLevel="0" collapsed="false">
      <c r="A120" s="6" t="n">
        <v>117</v>
      </c>
      <c r="B120" s="6" t="s">
        <v>457</v>
      </c>
      <c r="C120" s="35" t="s">
        <v>466</v>
      </c>
      <c r="D120" s="50"/>
      <c r="E120" s="37" t="str">
        <f aca="false">IF(D120="","Type answer",IF(LOWER(TRIM(D120))="see you soon","Correct!","Ans: see you soon"))</f>
        <v>Type answer</v>
      </c>
    </row>
    <row r="121" customFormat="false" ht="24" hidden="false" customHeight="true" outlineLevel="0" collapsed="false">
      <c r="A121" s="21" t="n">
        <v>118</v>
      </c>
      <c r="B121" s="21" t="s">
        <v>607</v>
      </c>
      <c r="C121" s="38" t="s">
        <v>608</v>
      </c>
      <c r="D121" s="50"/>
      <c r="E121" s="39" t="str">
        <f aca="false">IF(D121="","Type answer",IF(LOWER(TRIM(D121))="she","Correct!","Ans: she / they"))</f>
        <v>Type answer</v>
      </c>
    </row>
    <row r="122" customFormat="false" ht="24" hidden="false" customHeight="true" outlineLevel="0" collapsed="false">
      <c r="A122" s="6" t="n">
        <v>119</v>
      </c>
      <c r="B122" s="6" t="s">
        <v>371</v>
      </c>
      <c r="C122" s="35" t="s">
        <v>372</v>
      </c>
      <c r="D122" s="50"/>
      <c r="E122" s="37" t="str">
        <f aca="false">IF(D122="","Type answer",IF(LOWER(TRIM(D122))="brasil","Correct!","Ans: Brasil"))</f>
        <v>Type answer</v>
      </c>
    </row>
    <row r="123" customFormat="false" ht="24" hidden="false" customHeight="true" outlineLevel="0" collapsed="false">
      <c r="A123" s="21" t="n">
        <v>120</v>
      </c>
      <c r="B123" s="21" t="s">
        <v>208</v>
      </c>
      <c r="C123" s="38" t="s">
        <v>499</v>
      </c>
      <c r="D123" s="50"/>
      <c r="E123" s="39" t="str">
        <f aca="false">IF(D123="","Type answer",IF(LOWER(TRIM(D123))="to speak","Correct!","Ans: to speak"))</f>
        <v>Type answer</v>
      </c>
    </row>
    <row r="124" customFormat="false" ht="24" hidden="false" customHeight="true" outlineLevel="0" collapsed="false">
      <c r="A124" s="6" t="n">
        <v>121</v>
      </c>
      <c r="B124" s="6" t="s">
        <v>601</v>
      </c>
      <c r="C124" s="35" t="s">
        <v>602</v>
      </c>
      <c r="D124" s="50"/>
      <c r="E124" s="37" t="str">
        <f aca="false">IF(D124="","Type answer",IF(LOWER(TRIM(D124))="you","Correct!","Ans: you (informal)"))</f>
        <v>Type answer</v>
      </c>
    </row>
    <row r="125" customFormat="false" ht="24" hidden="false" customHeight="true" outlineLevel="0" collapsed="false">
      <c r="A125" s="21" t="n">
        <v>122</v>
      </c>
      <c r="B125" s="21" t="s">
        <v>90</v>
      </c>
      <c r="C125" s="38" t="s">
        <v>91</v>
      </c>
      <c r="D125" s="50"/>
      <c r="E125" s="39" t="str">
        <f aca="false">IF(D125="","Type answer",IF(LOWER(TRIM(D125))="name","Correct!","Ans: name"))</f>
        <v>Type answer</v>
      </c>
    </row>
    <row r="126" customFormat="false" ht="24" hidden="false" customHeight="true" outlineLevel="0" collapsed="false">
      <c r="A126" s="6" t="n">
        <v>123</v>
      </c>
      <c r="B126" s="6" t="s">
        <v>379</v>
      </c>
      <c r="C126" s="35" t="s">
        <v>380</v>
      </c>
      <c r="D126" s="50"/>
      <c r="E126" s="37" t="str">
        <f aca="false">IF(D126="","Type answer",IF(LOWER(TRIM(D126))="greece","Correct!","Ans: Greece"))</f>
        <v>Type answer</v>
      </c>
    </row>
    <row r="127" customFormat="false" ht="24" hidden="false" customHeight="true" outlineLevel="0" collapsed="false">
      <c r="A127" s="21" t="n">
        <v>124</v>
      </c>
      <c r="B127" s="21" t="s">
        <v>494</v>
      </c>
      <c r="C127" s="38" t="s">
        <v>495</v>
      </c>
      <c r="D127" s="50"/>
      <c r="E127" s="39" t="str">
        <f aca="false">IF(D127="","Type answer",IF(LOWER(TRIM(D127))="to come from","Correct!","Ans: to come from"))</f>
        <v>Type answer</v>
      </c>
    </row>
    <row r="128" customFormat="false" ht="24" hidden="false" customHeight="true" outlineLevel="0" collapsed="false">
      <c r="A128" s="6" t="n">
        <v>125</v>
      </c>
      <c r="B128" s="6" t="s">
        <v>591</v>
      </c>
      <c r="C128" s="35" t="s">
        <v>592</v>
      </c>
      <c r="D128" s="50"/>
      <c r="E128" s="37" t="str">
        <f aca="false">IF(D128="","Type answer",IF(LOWER(TRIM(D128))="pretty","Correct!","Ans: pretty / quite"))</f>
        <v>Type answer</v>
      </c>
    </row>
    <row r="129" customFormat="false" ht="24" hidden="false" customHeight="true" outlineLevel="0" collapsed="false">
      <c r="A129" s="21" t="n">
        <v>126</v>
      </c>
      <c r="B129" s="21" t="s">
        <v>401</v>
      </c>
      <c r="C129" s="38" t="s">
        <v>402</v>
      </c>
      <c r="D129" s="50"/>
      <c r="E129" s="39" t="str">
        <f aca="false">IF(D129="","Type answer",IF(LOWER(TRIM(D129))="ukraine","Correct!","Ans: Ukraine"))</f>
        <v>Type answer</v>
      </c>
    </row>
    <row r="130" customFormat="false" ht="24" hidden="false" customHeight="true" outlineLevel="0" collapsed="false">
      <c r="A130" s="6" t="n">
        <v>127</v>
      </c>
      <c r="B130" s="6" t="s">
        <v>342</v>
      </c>
      <c r="C130" s="35" t="s">
        <v>343</v>
      </c>
      <c r="D130" s="50"/>
      <c r="E130" s="37" t="str">
        <f aca="false">IF(D130="","Type answer",IF(LOWER(TRIM(D130))="turkish","Correct!","Ans: Turkish"))</f>
        <v>Type answer</v>
      </c>
    </row>
    <row r="131" customFormat="false" ht="24" hidden="false" customHeight="true" outlineLevel="0" collapsed="false">
      <c r="A131" s="21" t="n">
        <v>128</v>
      </c>
      <c r="B131" s="21" t="s">
        <v>351</v>
      </c>
      <c r="C131" s="38" t="s">
        <v>377</v>
      </c>
      <c r="D131" s="50"/>
      <c r="E131" s="39" t="str">
        <f aca="false">IF(D131="","Type answer",IF(LOWER(TRIM(D131))="france","Correct!","Ans: France"))</f>
        <v>Type answer</v>
      </c>
    </row>
    <row r="132" customFormat="false" ht="24" hidden="false" customHeight="true" outlineLevel="0" collapsed="false">
      <c r="A132" s="6" t="n">
        <v>129</v>
      </c>
      <c r="B132" s="6" t="s">
        <v>150</v>
      </c>
      <c r="C132" s="35" t="s">
        <v>151</v>
      </c>
      <c r="D132" s="50"/>
      <c r="E132" s="37" t="str">
        <f aca="false">IF(D132="","Type answer",IF(LOWER(TRIM(D132))="w-question","Correct!","Ans: w-question"))</f>
        <v>Type answer</v>
      </c>
    </row>
    <row r="133" customFormat="false" ht="24" hidden="false" customHeight="true" outlineLevel="0" collapsed="false">
      <c r="A133" s="21" t="n">
        <v>130</v>
      </c>
      <c r="B133" s="21" t="s">
        <v>550</v>
      </c>
      <c r="C133" s="38" t="s">
        <v>551</v>
      </c>
      <c r="D133" s="50"/>
      <c r="E133" s="39" t="str">
        <f aca="false">IF(D133="","Type answer",IF(LOWER(TRIM(D133))="to guess","Correct!","Ans: to guess"))</f>
        <v>Type answer</v>
      </c>
    </row>
    <row r="134" customFormat="false" ht="24" hidden="false" customHeight="true" outlineLevel="0" collapsed="false">
      <c r="A134" s="6" t="n">
        <v>131</v>
      </c>
      <c r="B134" s="6" t="s">
        <v>494</v>
      </c>
      <c r="C134" s="35" t="s">
        <v>497</v>
      </c>
      <c r="D134" s="50"/>
      <c r="E134" s="37" t="str">
        <f aca="false">IF(D134="","Type answer",IF(LOWER(TRIM(D134))="to live","Correct!","Ans: to live"))</f>
        <v>Type answer</v>
      </c>
    </row>
    <row r="135" customFormat="false" ht="24" hidden="false" customHeight="true" outlineLevel="0" collapsed="false">
      <c r="A135" s="21" t="n">
        <v>132</v>
      </c>
      <c r="B135" s="21" t="s">
        <v>135</v>
      </c>
      <c r="C135" s="38" t="s">
        <v>136</v>
      </c>
      <c r="D135" s="50"/>
      <c r="E135" s="39" t="str">
        <f aca="false">IF(D135="","Type answer",IF(LOWER(TRIM(D135))="telephone","Correct!","Ans: telephone"))</f>
        <v>Type answer</v>
      </c>
    </row>
    <row r="136" customFormat="false" ht="24" hidden="false" customHeight="true" outlineLevel="0" collapsed="false">
      <c r="A136" s="6" t="n">
        <v>133</v>
      </c>
      <c r="B136" s="6" t="s">
        <v>574</v>
      </c>
      <c r="C136" s="35" t="s">
        <v>577</v>
      </c>
      <c r="D136" s="50"/>
      <c r="E136" s="37" t="str">
        <f aca="false">IF(D136="","Type answer",IF(LOWER(TRIM(D136))="very","Correct!","Ans: very"))</f>
        <v>Type answer</v>
      </c>
    </row>
    <row r="137" customFormat="false" ht="24" hidden="false" customHeight="true" outlineLevel="0" collapsed="false">
      <c r="A137" s="21" t="n">
        <v>134</v>
      </c>
      <c r="B137" s="21" t="s">
        <v>586</v>
      </c>
      <c r="C137" s="38" t="s">
        <v>587</v>
      </c>
      <c r="D137" s="50"/>
      <c r="E137" s="39" t="str">
        <f aca="false">IF(D137="","Type answer",IF(LOWER(TRIM(D137))="once more","Correct!","Ans: once more"))</f>
        <v>Type answer</v>
      </c>
    </row>
    <row r="138" customFormat="false" ht="24" hidden="false" customHeight="true" outlineLevel="0" collapsed="false">
      <c r="A138" s="6" t="n">
        <v>135</v>
      </c>
      <c r="B138" s="6" t="s">
        <v>336</v>
      </c>
      <c r="C138" s="35" t="s">
        <v>337</v>
      </c>
      <c r="D138" s="50"/>
      <c r="E138" s="37" t="str">
        <f aca="false">IF(D138="","Type answer",IF(LOWER(TRIM(D138))="russian","Correct!","Ans: Russian"))</f>
        <v>Type answer</v>
      </c>
    </row>
    <row r="139" customFormat="false" ht="24" hidden="false" customHeight="true" outlineLevel="0" collapsed="false">
      <c r="A139" s="21" t="n">
        <v>136</v>
      </c>
      <c r="B139" s="21" t="s">
        <v>62</v>
      </c>
      <c r="C139" s="38" t="s">
        <v>140</v>
      </c>
      <c r="D139" s="50"/>
      <c r="E139" s="39" t="str">
        <f aca="false">IF(D139="","Type answer",IF(LOWER(TRIM(D139))="declarative sentence","Correct!","Ans: declarative sentence"))</f>
        <v>Type answer</v>
      </c>
    </row>
    <row r="140" customFormat="false" ht="24" hidden="false" customHeight="true" outlineLevel="0" collapsed="false">
      <c r="A140" s="6" t="n">
        <v>137</v>
      </c>
      <c r="B140" s="6" t="s">
        <v>112</v>
      </c>
      <c r="C140" s="35" t="s">
        <v>113</v>
      </c>
      <c r="D140" s="50"/>
      <c r="E140" s="37" t="str">
        <f aca="false">IF(D140="","Type answer",IF(LOWER(TRIM(D140))="verb","Correct!","Ans: verb"))</f>
        <v>Type answer</v>
      </c>
    </row>
    <row r="141" customFormat="false" ht="24" hidden="false" customHeight="true" outlineLevel="0" collapsed="false">
      <c r="A141" s="21" t="n">
        <v>138</v>
      </c>
      <c r="B141" s="21" t="s">
        <v>542</v>
      </c>
      <c r="C141" s="38" t="s">
        <v>543</v>
      </c>
      <c r="D141" s="50"/>
      <c r="E141" s="39" t="str">
        <f aca="false">IF(D141="","Type answer",IF(LOWER(TRIM(D141))="to vary","Correct!","Ans: to vary"))</f>
        <v>Type answer</v>
      </c>
    </row>
    <row r="142" customFormat="false" ht="24" hidden="false" customHeight="true" outlineLevel="0" collapsed="false">
      <c r="A142" s="6" t="n">
        <v>139</v>
      </c>
      <c r="B142" s="6" t="s">
        <v>73</v>
      </c>
      <c r="C142" s="35" t="s">
        <v>481</v>
      </c>
      <c r="D142" s="50"/>
      <c r="E142" s="37" t="str">
        <f aca="false">IF(D142="","Type answer",IF(LOWER(TRIM(D142))="please","Correct!","Ans: please"))</f>
        <v>Type answer</v>
      </c>
    </row>
    <row r="143" customFormat="false" ht="24" hidden="false" customHeight="true" outlineLevel="0" collapsed="false">
      <c r="A143" s="21" t="n">
        <v>140</v>
      </c>
      <c r="B143" s="21" t="s">
        <v>327</v>
      </c>
      <c r="C143" s="38" t="s">
        <v>328</v>
      </c>
      <c r="D143" s="50"/>
      <c r="E143" s="39" t="str">
        <f aca="false">IF(D143="","Type answer",IF(LOWER(TRIM(D143))="indonesian","Correct!","Ans: Indonesian"))</f>
        <v>Type answer</v>
      </c>
    </row>
    <row r="144" customFormat="false" ht="24" hidden="false" customHeight="true" outlineLevel="0" collapsed="false">
      <c r="A144" s="6" t="n">
        <v>141</v>
      </c>
      <c r="B144" s="6" t="s">
        <v>79</v>
      </c>
      <c r="C144" s="35" t="s">
        <v>117</v>
      </c>
      <c r="D144" s="50"/>
      <c r="E144" s="37" t="str">
        <f aca="false">IF(D144="","Type answer",IF(LOWER(TRIM(D144))="first name","Correct!","Ans: first name"))</f>
        <v>Type answer</v>
      </c>
    </row>
    <row r="145" customFormat="false" ht="24" hidden="false" customHeight="true" outlineLevel="0" collapsed="false">
      <c r="A145" s="21" t="n">
        <v>142</v>
      </c>
      <c r="B145" s="21" t="s">
        <v>108</v>
      </c>
      <c r="C145" s="38" t="s">
        <v>109</v>
      </c>
      <c r="D145" s="50"/>
      <c r="E145" s="39" t="str">
        <f aca="false">IF(D145="","Type answer",IF(LOWER(TRIM(D145))="personal pronoun","Correct!","Ans: personal pronoun"))</f>
        <v>Type answer</v>
      </c>
    </row>
    <row r="146" customFormat="false" ht="24" hidden="false" customHeight="true" outlineLevel="0" collapsed="false">
      <c r="A146" s="6" t="n">
        <v>143</v>
      </c>
      <c r="B146" s="6" t="s">
        <v>203</v>
      </c>
      <c r="C146" s="35" t="s">
        <v>641</v>
      </c>
      <c r="D146" s="50"/>
      <c r="E146" s="37" t="str">
        <f aca="false">IF(D146="","Type answer",IF(LOWER(TRIM(D146))="minus","Correct!","Ans: minus"))</f>
        <v>Type answer</v>
      </c>
    </row>
    <row r="147" customFormat="false" ht="24" hidden="false" customHeight="true" outlineLevel="0" collapsed="false">
      <c r="A147" s="21" t="n">
        <v>144</v>
      </c>
      <c r="B147" s="21" t="s">
        <v>345</v>
      </c>
      <c r="C147" s="38" t="s">
        <v>346</v>
      </c>
      <c r="D147" s="50"/>
      <c r="E147" s="39" t="str">
        <f aca="false">IF(D147="","Type answer",IF(LOWER(TRIM(D147))="hungarian","Correct!","Ans: Hungarian"))</f>
        <v>Type answer</v>
      </c>
    </row>
    <row r="148" customFormat="false" ht="24" hidden="false" customHeight="true" outlineLevel="0" collapsed="false">
      <c r="A148" s="6" t="n">
        <v>145</v>
      </c>
      <c r="B148" s="6" t="s">
        <v>330</v>
      </c>
      <c r="C148" s="35" t="s">
        <v>331</v>
      </c>
      <c r="D148" s="50"/>
      <c r="E148" s="37" t="str">
        <f aca="false">IF(D148="","Type answer",IF(LOWER(TRIM(D148))="italian","Correct!","Ans: Italian"))</f>
        <v>Type answer</v>
      </c>
    </row>
    <row r="149" customFormat="false" ht="24" hidden="false" customHeight="true" outlineLevel="0" collapsed="false">
      <c r="A149" s="21" t="n">
        <v>146</v>
      </c>
      <c r="B149" s="21" t="s">
        <v>241</v>
      </c>
      <c r="C149" s="38" t="s">
        <v>501</v>
      </c>
      <c r="D149" s="50"/>
      <c r="E149" s="39" t="str">
        <f aca="false">IF(D149="","Type answer",IF(LOWER(TRIM(D149))="to learn","Correct!","Ans: to learn"))</f>
        <v>Type answer</v>
      </c>
    </row>
    <row r="150" customFormat="false" ht="24" hidden="false" customHeight="true" outlineLevel="0" collapsed="false">
      <c r="A150" s="6" t="n">
        <v>147</v>
      </c>
      <c r="B150" s="6" t="s">
        <v>155</v>
      </c>
      <c r="C150" s="35" t="s">
        <v>540</v>
      </c>
      <c r="D150" s="50"/>
      <c r="E150" s="37" t="str">
        <f aca="false">IF(D150="","Type answer",IF(LOWER(TRIM(D150))="to introduce","Correct!","Ans: to introduce"))</f>
        <v>Type answer</v>
      </c>
    </row>
    <row r="151" customFormat="false" ht="24" hidden="false" customHeight="true" outlineLevel="0" collapsed="false">
      <c r="A151" s="21" t="n">
        <v>148</v>
      </c>
      <c r="B151" s="21" t="s">
        <v>333</v>
      </c>
      <c r="C151" s="38" t="s">
        <v>370</v>
      </c>
      <c r="D151" s="50"/>
      <c r="E151" s="39" t="str">
        <f aca="false">IF(D151="","Type answer",IF(LOWER(TRIM(D151))="japan","Correct!","Ans: Japan"))</f>
        <v>Type answer</v>
      </c>
    </row>
    <row r="152" customFormat="false" ht="24" hidden="false" customHeight="true" outlineLevel="0" collapsed="false">
      <c r="A152" s="6" t="n">
        <v>149</v>
      </c>
      <c r="B152" s="6" t="s">
        <v>553</v>
      </c>
      <c r="C152" s="35" t="s">
        <v>554</v>
      </c>
      <c r="D152" s="50"/>
      <c r="E152" s="37" t="str">
        <f aca="false">IF(D152="","Type answer",IF(LOWER(TRIM(D152))="good","Correct!","Ans: good"))</f>
        <v>Type answer</v>
      </c>
    </row>
    <row r="153" customFormat="false" ht="24" hidden="false" customHeight="true" outlineLevel="0" collapsed="false">
      <c r="A153" s="21" t="n">
        <v>150</v>
      </c>
      <c r="B153" s="21" t="s">
        <v>127</v>
      </c>
      <c r="C153" s="38" t="s">
        <v>128</v>
      </c>
      <c r="D153" s="50"/>
      <c r="E153" s="39" t="str">
        <f aca="false">IF(D153="","Type answer",IF(LOWER(TRIM(D153))="travel guide","Correct!","Ans: travel guide (m)"))</f>
        <v>Type answer</v>
      </c>
    </row>
    <row r="154" customFormat="false" ht="24" hidden="false" customHeight="true" outlineLevel="0" collapsed="false">
      <c r="A154" s="6" t="n">
        <v>151</v>
      </c>
      <c r="B154" s="6" t="s">
        <v>108</v>
      </c>
      <c r="C154" s="35" t="s">
        <v>164</v>
      </c>
      <c r="D154" s="50"/>
      <c r="E154" s="37" t="str">
        <f aca="false">IF(D154="","Type answer",IF(LOWER(TRIM(D154))="letter","Correct!","Ans: letter"))</f>
        <v>Type answer</v>
      </c>
    </row>
    <row r="155" customFormat="false" ht="24" hidden="false" customHeight="true" outlineLevel="0" collapsed="false">
      <c r="A155" s="21" t="n">
        <v>152</v>
      </c>
      <c r="B155" s="21" t="s">
        <v>407</v>
      </c>
      <c r="C155" s="38" t="s">
        <v>408</v>
      </c>
      <c r="D155" s="50"/>
      <c r="E155" s="39" t="str">
        <f aca="false">IF(D155="","Type answer",IF(LOWER(TRIM(D155))="one","Correct!","Ans: one"))</f>
        <v>Type answer</v>
      </c>
    </row>
    <row r="156" customFormat="false" ht="24" hidden="false" customHeight="true" outlineLevel="0" collapsed="false">
      <c r="A156" s="6" t="n">
        <v>153</v>
      </c>
      <c r="B156" s="6" t="s">
        <v>413</v>
      </c>
      <c r="C156" s="35" t="s">
        <v>414</v>
      </c>
      <c r="D156" s="50"/>
      <c r="E156" s="37" t="str">
        <f aca="false">IF(D156="","Type answer",IF(LOWER(TRIM(D156))="three","Correct!","Ans: three"))</f>
        <v>Type answer</v>
      </c>
    </row>
    <row r="157" customFormat="false" ht="24" hidden="false" customHeight="true" outlineLevel="0" collapsed="false">
      <c r="A157" s="21" t="n">
        <v>154</v>
      </c>
      <c r="B157" s="21" t="s">
        <v>250</v>
      </c>
      <c r="C157" s="38" t="s">
        <v>251</v>
      </c>
      <c r="D157" s="50"/>
      <c r="E157" s="39" t="str">
        <f aca="false">IF(D157="","Type answer",IF(LOWER(TRIM(D157))="subject","Correct!","Ans: subject"))</f>
        <v>Type answer</v>
      </c>
    </row>
    <row r="158" customFormat="false" ht="24" hidden="false" customHeight="true" outlineLevel="0" collapsed="false">
      <c r="A158" s="6" t="n">
        <v>155</v>
      </c>
      <c r="B158" s="6" t="s">
        <v>214</v>
      </c>
      <c r="C158" s="35" t="s">
        <v>451</v>
      </c>
      <c r="D158" s="50"/>
      <c r="E158" s="37" t="str">
        <f aca="false">IF(D158="","Type answer",IF(LOWER(TRIM(D158))="eighteen","Correct!","Ans: eighteen"))</f>
        <v>Type answer</v>
      </c>
    </row>
    <row r="159" customFormat="false" ht="24" hidden="false" customHeight="true" outlineLevel="0" collapsed="false">
      <c r="A159" s="21" t="n">
        <v>156</v>
      </c>
      <c r="B159" s="21" t="s">
        <v>150</v>
      </c>
      <c r="C159" s="38" t="s">
        <v>524</v>
      </c>
      <c r="D159" s="50"/>
      <c r="E159" s="39" t="str">
        <f aca="false">IF(D159="","Type answer",IF(LOWER(TRIM(D159))="to ask","Correct!","Ans: to ask"))</f>
        <v>Type answer</v>
      </c>
    </row>
    <row r="160" customFormat="false" ht="24" hidden="false" customHeight="true" outlineLevel="0" collapsed="false">
      <c r="A160" s="6" t="n">
        <v>157</v>
      </c>
      <c r="B160" s="6" t="s">
        <v>319</v>
      </c>
      <c r="C160" s="35" t="s">
        <v>320</v>
      </c>
      <c r="D160" s="50"/>
      <c r="E160" s="37" t="str">
        <f aca="false">IF(D160="","Type answer",IF(LOWER(TRIM(D160))="bulgarian","Correct!","Ans: Bulgarian"))</f>
        <v>Type answer</v>
      </c>
    </row>
    <row r="161" customFormat="false" ht="24" hidden="false" customHeight="true" outlineLevel="0" collapsed="false">
      <c r="A161" s="21" t="n">
        <v>158</v>
      </c>
      <c r="B161" s="21" t="s">
        <v>241</v>
      </c>
      <c r="C161" s="38" t="s">
        <v>242</v>
      </c>
      <c r="D161" s="50"/>
      <c r="E161" s="39" t="str">
        <f aca="false">IF(D161="","Type answer",IF(LOWER(TRIM(D161))="grammar","Correct!","Ans: grammar"))</f>
        <v>Type answer</v>
      </c>
    </row>
    <row r="162" customFormat="false" ht="24" hidden="false" customHeight="true" outlineLevel="0" collapsed="false">
      <c r="A162" s="6" t="n">
        <v>159</v>
      </c>
      <c r="B162" s="6" t="s">
        <v>518</v>
      </c>
      <c r="C162" s="35" t="s">
        <v>519</v>
      </c>
      <c r="D162" s="50"/>
      <c r="E162" s="37" t="str">
        <f aca="false">IF(D162="","Type answer",IF(LOWER(TRIM(D162))="to play","Correct!","Ans: to play"))</f>
        <v>Type answer</v>
      </c>
    </row>
    <row r="163" customFormat="false" ht="24" hidden="false" customHeight="true" outlineLevel="0" collapsed="false">
      <c r="A163" s="21" t="n">
        <v>160</v>
      </c>
      <c r="B163" s="21" t="s">
        <v>50</v>
      </c>
      <c r="C163" s="38" t="s">
        <v>51</v>
      </c>
      <c r="D163" s="50"/>
      <c r="E163" s="39" t="str">
        <f aca="false">IF(D163="","Type answer",IF(LOWER(TRIM(D163))="noodle","Correct!","Ans: noodle"))</f>
        <v>Type answer</v>
      </c>
    </row>
    <row r="164" customFormat="false" ht="24" hidden="false" customHeight="true" outlineLevel="0" collapsed="false">
      <c r="A164" s="6" t="n">
        <v>161</v>
      </c>
      <c r="B164" s="6" t="s">
        <v>330</v>
      </c>
      <c r="C164" s="35" t="s">
        <v>382</v>
      </c>
      <c r="D164" s="50"/>
      <c r="E164" s="37" t="str">
        <f aca="false">IF(D164="","Type answer",IF(LOWER(TRIM(D164))="italy","Correct!","Ans: Italy"))</f>
        <v>Type answer</v>
      </c>
    </row>
    <row r="165" customFormat="false" ht="24" hidden="false" customHeight="true" outlineLevel="0" collapsed="false">
      <c r="A165" s="21" t="n">
        <v>162</v>
      </c>
      <c r="B165" s="21" t="s">
        <v>12</v>
      </c>
      <c r="C165" s="38" t="s">
        <v>13</v>
      </c>
      <c r="D165" s="50"/>
      <c r="E165" s="39" t="str">
        <f aca="false">IF(D165="","Type answer",IF(LOWER(TRIM(D165))="highway","Correct!","Ans: highway"))</f>
        <v>Type answer</v>
      </c>
    </row>
    <row r="166" customFormat="false" ht="24" hidden="false" customHeight="true" outlineLevel="0" collapsed="false">
      <c r="A166" s="6" t="n">
        <v>163</v>
      </c>
      <c r="B166" s="6" t="s">
        <v>521</v>
      </c>
      <c r="C166" s="35" t="s">
        <v>522</v>
      </c>
      <c r="D166" s="50"/>
      <c r="E166" s="37" t="str">
        <f aca="false">IF(D166="","Type answer",IF(LOWER(TRIM(D166))="to collect","Correct!","Ans: to collect"))</f>
        <v>Type answer</v>
      </c>
    </row>
    <row r="167" customFormat="false" ht="24" hidden="false" customHeight="true" outlineLevel="0" collapsed="false">
      <c r="A167" s="21" t="n">
        <v>164</v>
      </c>
      <c r="B167" s="21" t="s">
        <v>150</v>
      </c>
      <c r="C167" s="38" t="s">
        <v>612</v>
      </c>
      <c r="D167" s="50"/>
      <c r="E167" s="39" t="str">
        <f aca="false">IF(D167="","Type answer",IF(LOWER(TRIM(D167))="who","Correct!","Ans: who"))</f>
        <v>Type answer</v>
      </c>
    </row>
    <row r="168" customFormat="false" ht="24" hidden="false" customHeight="true" outlineLevel="0" collapsed="false">
      <c r="A168" s="6" t="n">
        <v>165</v>
      </c>
      <c r="B168" s="6" t="s">
        <v>407</v>
      </c>
      <c r="C168" s="35" t="s">
        <v>630</v>
      </c>
      <c r="D168" s="50"/>
      <c r="E168" s="37" t="str">
        <f aca="false">IF(D168="","Type answer",IF(LOWER(TRIM(D168))="a","Correct!","Ans: a / an"))</f>
        <v>Type answer</v>
      </c>
    </row>
    <row r="169" customFormat="false" ht="24" hidden="false" customHeight="true" outlineLevel="0" collapsed="false">
      <c r="A169" s="21" t="n">
        <v>166</v>
      </c>
      <c r="B169" s="21" t="s">
        <v>203</v>
      </c>
      <c r="C169" s="38" t="s">
        <v>204</v>
      </c>
      <c r="D169" s="50"/>
      <c r="E169" s="39" t="str">
        <f aca="false">IF(D169="","Type answer",IF(LOWER(TRIM(D169))="underscore","Correct!","Ans: underscore"))</f>
        <v>Type answer</v>
      </c>
    </row>
    <row r="170" customFormat="false" ht="24" hidden="false" customHeight="true" outlineLevel="0" collapsed="false">
      <c r="A170" s="6" t="n">
        <v>167</v>
      </c>
      <c r="B170" s="6" t="s">
        <v>354</v>
      </c>
      <c r="C170" s="35" t="s">
        <v>355</v>
      </c>
      <c r="D170" s="50"/>
      <c r="E170" s="37" t="str">
        <f aca="false">IF(D170="","Type answer",IF(LOWER(TRIM(D170))="polish","Correct!","Ans: Polish"))</f>
        <v>Type answer</v>
      </c>
    </row>
    <row r="171" customFormat="false" ht="24" hidden="false" customHeight="true" outlineLevel="0" collapsed="false">
      <c r="A171" s="21" t="n">
        <v>168</v>
      </c>
      <c r="B171" s="21" t="s">
        <v>597</v>
      </c>
      <c r="C171" s="38" t="s">
        <v>598</v>
      </c>
      <c r="D171" s="50"/>
      <c r="E171" s="39" t="str">
        <f aca="false">IF(D171="","Type answer",IF(LOWER(TRIM(D171))="i","Correct!","Ans: I"))</f>
        <v>Type answer</v>
      </c>
    </row>
    <row r="172" customFormat="false" ht="24" hidden="false" customHeight="true" outlineLevel="0" collapsed="false">
      <c r="A172" s="6" t="n">
        <v>169</v>
      </c>
      <c r="B172" s="6" t="s">
        <v>557</v>
      </c>
      <c r="C172" s="35" t="s">
        <v>558</v>
      </c>
      <c r="D172" s="50"/>
      <c r="E172" s="37" t="str">
        <f aca="false">IF(D172="","Type answer",IF(LOWER(TRIM(D172))="international","Correct!","Ans: international"))</f>
        <v>Type answer</v>
      </c>
    </row>
    <row r="173" customFormat="false" ht="24" hidden="false" customHeight="true" outlineLevel="0" collapsed="false">
      <c r="A173" s="21" t="n">
        <v>170</v>
      </c>
      <c r="B173" s="21" t="s">
        <v>503</v>
      </c>
      <c r="C173" s="38" t="s">
        <v>504</v>
      </c>
      <c r="D173" s="50"/>
      <c r="E173" s="39" t="str">
        <f aca="false">IF(D173="","Type answer",IF(LOWER(TRIM(D173))="to make","Correct!","Ans: to make / do"))</f>
        <v>Type answer</v>
      </c>
    </row>
    <row r="174" customFormat="false" ht="24" hidden="false" customHeight="true" outlineLevel="0" collapsed="false">
      <c r="A174" s="6" t="n">
        <v>171</v>
      </c>
      <c r="B174" s="6" t="s">
        <v>388</v>
      </c>
      <c r="C174" s="35" t="s">
        <v>389</v>
      </c>
      <c r="D174" s="50"/>
      <c r="E174" s="37" t="str">
        <f aca="false">IF(D174="","Type answer",IF(LOWER(TRIM(D174))="thailand","Correct!","Ans: Thailand"))</f>
        <v>Type answer</v>
      </c>
    </row>
    <row r="175" customFormat="false" ht="24" hidden="false" customHeight="true" outlineLevel="0" collapsed="false">
      <c r="A175" s="21" t="n">
        <v>172</v>
      </c>
      <c r="B175" s="21" t="s">
        <v>155</v>
      </c>
      <c r="C175" s="38" t="s">
        <v>160</v>
      </c>
      <c r="D175" s="50"/>
      <c r="E175" s="39" t="str">
        <f aca="false">IF(D175="","Type answer",IF(LOWER(TRIM(D175))="partner","Correct!","Ans: partner (f)"))</f>
        <v>Type answer</v>
      </c>
    </row>
    <row r="176" customFormat="false" ht="24" hidden="false" customHeight="true" outlineLevel="0" collapsed="false">
      <c r="A176" s="6" t="n">
        <v>173</v>
      </c>
      <c r="B176" s="6" t="s">
        <v>322</v>
      </c>
      <c r="C176" s="35" t="s">
        <v>323</v>
      </c>
      <c r="D176" s="50"/>
      <c r="E176" s="37" t="str">
        <f aca="false">IF(D176="","Type answer",IF(LOWER(TRIM(D176))="german","Correct!","Ans: German"))</f>
        <v>Type answer</v>
      </c>
    </row>
    <row r="177" customFormat="false" ht="24" hidden="false" customHeight="true" outlineLevel="0" collapsed="false">
      <c r="A177" s="21" t="n">
        <v>174</v>
      </c>
      <c r="B177" s="21" t="s">
        <v>208</v>
      </c>
      <c r="C177" s="38" t="s">
        <v>357</v>
      </c>
      <c r="D177" s="50"/>
      <c r="E177" s="39" t="str">
        <f aca="false">IF(D177="","Type answer",IF(LOWER(TRIM(D177))="raetho-romanic","Correct!","Ans: Raetho-Romanic"))</f>
        <v>Type answer</v>
      </c>
    </row>
    <row r="178" customFormat="false" ht="24" hidden="false" customHeight="true" outlineLevel="0" collapsed="false">
      <c r="A178" s="6" t="n">
        <v>175</v>
      </c>
      <c r="B178" s="6" t="s">
        <v>325</v>
      </c>
      <c r="C178" s="35" t="s">
        <v>326</v>
      </c>
      <c r="D178" s="50"/>
      <c r="E178" s="37" t="str">
        <f aca="false">IF(D178="","Type answer",IF(LOWER(TRIM(D178))="english","Correct!","Ans: English"))</f>
        <v>Type answer</v>
      </c>
    </row>
    <row r="179" customFormat="false" ht="24" hidden="false" customHeight="true" outlineLevel="0" collapsed="false">
      <c r="A179" s="21" t="n">
        <v>176</v>
      </c>
      <c r="B179" s="21" t="s">
        <v>410</v>
      </c>
      <c r="C179" s="38" t="s">
        <v>411</v>
      </c>
      <c r="D179" s="50"/>
      <c r="E179" s="39" t="str">
        <f aca="false">IF(D179="","Type answer",IF(LOWER(TRIM(D179))="two","Correct!","Ans: two"))</f>
        <v>Type answer</v>
      </c>
    </row>
    <row r="180" customFormat="false" ht="24" hidden="false" customHeight="true" outlineLevel="0" collapsed="false">
      <c r="A180" s="6" t="n">
        <v>177</v>
      </c>
      <c r="B180" s="6" t="s">
        <v>322</v>
      </c>
      <c r="C180" s="35" t="s">
        <v>365</v>
      </c>
      <c r="D180" s="50"/>
      <c r="E180" s="37" t="str">
        <f aca="false">IF(D180="","Type answer",IF(LOWER(TRIM(D180))="germany","Correct!","Ans: Germany"))</f>
        <v>Type answer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8"/>
  </cols>
  <sheetData>
    <row r="1" customFormat="false" ht="49.5" hidden="false" customHeight="true" outlineLevel="0" collapsed="false">
      <c r="A1" s="1" t="s">
        <v>665</v>
      </c>
      <c r="B1" s="1"/>
      <c r="C1" s="1"/>
    </row>
    <row r="2" customFormat="false" ht="27.75" hidden="false" customHeight="true" outlineLevel="0" collapsed="false">
      <c r="A2" s="51" t="s">
        <v>666</v>
      </c>
      <c r="B2" s="51" t="s">
        <v>667</v>
      </c>
      <c r="C2" s="51" t="s">
        <v>668</v>
      </c>
    </row>
    <row r="3" customFormat="false" ht="30" hidden="false" customHeight="true" outlineLevel="0" collapsed="false">
      <c r="A3" s="52" t="s">
        <v>669</v>
      </c>
      <c r="B3" s="36"/>
      <c r="C3" s="52" t="n">
        <v>48</v>
      </c>
    </row>
    <row r="4" customFormat="false" ht="30" hidden="false" customHeight="true" outlineLevel="0" collapsed="false">
      <c r="A4" s="53" t="s">
        <v>670</v>
      </c>
      <c r="B4" s="36"/>
      <c r="C4" s="53" t="n">
        <v>48</v>
      </c>
    </row>
    <row r="5" customFormat="false" ht="30" hidden="false" customHeight="true" outlineLevel="0" collapsed="false">
      <c r="A5" s="54" t="s">
        <v>671</v>
      </c>
      <c r="B5" s="36"/>
      <c r="C5" s="54" t="n">
        <v>10</v>
      </c>
    </row>
    <row r="6" customFormat="false" ht="30" hidden="false" customHeight="true" outlineLevel="0" collapsed="false">
      <c r="A6" s="55" t="s">
        <v>672</v>
      </c>
      <c r="B6" s="36"/>
      <c r="C6" s="55" t="n">
        <v>177</v>
      </c>
    </row>
    <row r="7" customFormat="false" ht="30" hidden="false" customHeight="true" outlineLevel="0" collapsed="false">
      <c r="A7" s="56" t="s">
        <v>673</v>
      </c>
      <c r="B7" s="56" t="n">
        <f aca="false">SUM(B3:B6)</f>
        <v>0</v>
      </c>
      <c r="C7" s="56" t="n">
        <f aca="false">SUM(C3:C6)</f>
        <v>283</v>
      </c>
    </row>
    <row r="9" customFormat="false" ht="31.5" hidden="false" customHeight="true" outlineLevel="0" collapsed="false">
      <c r="A9" s="57" t="s">
        <v>674</v>
      </c>
      <c r="B9" s="57"/>
      <c r="C9" s="57"/>
    </row>
  </sheetData>
  <mergeCells count="2">
    <mergeCell ref="A1:C1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2026-03-21T10:39:45Z</dcterms:created>
  <dc:creator>openpyxl</dc:creator>
  <dc:description/>
  <dc:language>en-US</dc:language>
  <cp:lastModifiedBy/>
  <dcterms:modified xsi:type="dcterms:W3CDTF">2026-03-21T10:39:45Z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