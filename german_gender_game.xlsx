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📖 Gender Chart" sheetId="1" state="visible" r:id="rId3"/>
    <sheet name="🎮 Match the Article" sheetId="2" state="visible" r:id="rId4"/>
    <sheet name="🔢 Plural Challenge" sheetId="3" state="visible" r:id="rId5"/>
    <sheet name="🎨 Colour Sort" sheetId="4" state="visible" r:id="rId6"/>
    <sheet name="🏆 My Scor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<sst xmlns="http://schemas.openxmlformats.org/spreadsheetml/2006/main" count="556" uniqueCount="230">
  <si>
    <t xml:space="preserve">🇩🇪  German Nouns – Gender &amp; Plural Reference Card  🇩🇪</t>
  </si>
  <si>
    <t xml:space="preserve">🔵 DER  (masculine)</t>
  </si>
  <si>
    <t xml:space="preserve">🟣 DIE  (feminine)</t>
  </si>
  <si>
    <t xml:space="preserve">🔷 DAS  (neuter)</t>
  </si>
  <si>
    <t xml:space="preserve">#</t>
  </si>
  <si>
    <t xml:space="preserve">Emoji</t>
  </si>
  <si>
    <t xml:space="preserve">German Word</t>
  </si>
  <si>
    <t xml:space="preserve">Article</t>
  </si>
  <si>
    <t xml:space="preserve">Plural Form</t>
  </si>
  <si>
    <t xml:space="preserve">English</t>
  </si>
  <si>
    <t xml:space="preserve">Example Sentence</t>
  </si>
  <si>
    <t xml:space="preserve">🛣️</t>
  </si>
  <si>
    <t xml:space="preserve">Autobahn</t>
  </si>
  <si>
    <t xml:space="preserve">die</t>
  </si>
  <si>
    <t xml:space="preserve">Autobahnen</t>
  </si>
  <si>
    <t xml:space="preserve">highway</t>
  </si>
  <si>
    <t xml:space="preserve">Die Autobahn ist lang.</t>
  </si>
  <si>
    <t xml:space="preserve">🥪</t>
  </si>
  <si>
    <t xml:space="preserve">Butterbrot</t>
  </si>
  <si>
    <t xml:space="preserve">das</t>
  </si>
  <si>
    <t xml:space="preserve">Butterbrote</t>
  </si>
  <si>
    <t xml:space="preserve">sandwich</t>
  </si>
  <si>
    <t xml:space="preserve">Das Butterbrot schmeckt gut.</t>
  </si>
  <si>
    <t xml:space="preserve">🍼</t>
  </si>
  <si>
    <t xml:space="preserve">Flasche</t>
  </si>
  <si>
    <t xml:space="preserve">Flaschen</t>
  </si>
  <si>
    <t xml:space="preserve">bottle</t>
  </si>
  <si>
    <t xml:space="preserve">Die Flasche ist leer.</t>
  </si>
  <si>
    <t xml:space="preserve">🏊</t>
  </si>
  <si>
    <t xml:space="preserve">Handtuch</t>
  </si>
  <si>
    <t xml:space="preserve">Handtücher</t>
  </si>
  <si>
    <t xml:space="preserve">towel</t>
  </si>
  <si>
    <t xml:space="preserve">Das Handtuch ist nass.</t>
  </si>
  <si>
    <t xml:space="preserve">🏫</t>
  </si>
  <si>
    <t xml:space="preserve">Kindergarten</t>
  </si>
  <si>
    <t xml:space="preserve">der</t>
  </si>
  <si>
    <t xml:space="preserve">Kindergärten</t>
  </si>
  <si>
    <t xml:space="preserve">kindergarten</t>
  </si>
  <si>
    <t xml:space="preserve">Der Kindergarten ist groß.</t>
  </si>
  <si>
    <t xml:space="preserve">🧳</t>
  </si>
  <si>
    <t xml:space="preserve">Koffer</t>
  </si>
  <si>
    <t xml:space="preserve">suitcase</t>
  </si>
  <si>
    <t xml:space="preserve">Der Koffer ist schwer.</t>
  </si>
  <si>
    <t xml:space="preserve">🤒</t>
  </si>
  <si>
    <t xml:space="preserve">Kranke</t>
  </si>
  <si>
    <t xml:space="preserve">der/die</t>
  </si>
  <si>
    <t xml:space="preserve">Kranken</t>
  </si>
  <si>
    <t xml:space="preserve">sick person</t>
  </si>
  <si>
    <t xml:space="preserve">Der/die Kranke ist interessant.</t>
  </si>
  <si>
    <t xml:space="preserve">🍝</t>
  </si>
  <si>
    <t xml:space="preserve">Nudel</t>
  </si>
  <si>
    <t xml:space="preserve">Nudeln</t>
  </si>
  <si>
    <t xml:space="preserve">noodle</t>
  </si>
  <si>
    <t xml:space="preserve">Die Nudel ist lang.</t>
  </si>
  <si>
    <t xml:space="preserve">🌭</t>
  </si>
  <si>
    <t xml:space="preserve">Würstchen</t>
  </si>
  <si>
    <t xml:space="preserve">sausage</t>
  </si>
  <si>
    <t xml:space="preserve">Das Würstchen ist lecker.</t>
  </si>
  <si>
    <t xml:space="preserve">🏷️</t>
  </si>
  <si>
    <t xml:space="preserve">Name</t>
  </si>
  <si>
    <t xml:space="preserve">Namen</t>
  </si>
  <si>
    <t xml:space="preserve">name</t>
  </si>
  <si>
    <t xml:space="preserve">Der Name ist schön.</t>
  </si>
  <si>
    <t xml:space="preserve">💬</t>
  </si>
  <si>
    <t xml:space="preserve">Sprache</t>
  </si>
  <si>
    <t xml:space="preserve">Sprachen</t>
  </si>
  <si>
    <t xml:space="preserve">language</t>
  </si>
  <si>
    <t xml:space="preserve">Die Sprache ist interessant.</t>
  </si>
  <si>
    <t xml:space="preserve">📝</t>
  </si>
  <si>
    <t xml:space="preserve">Wort</t>
  </si>
  <si>
    <t xml:space="preserve">Wörter</t>
  </si>
  <si>
    <t xml:space="preserve">word</t>
  </si>
  <si>
    <t xml:space="preserve">Das Wort ist neu.</t>
  </si>
  <si>
    <t xml:space="preserve">👤</t>
  </si>
  <si>
    <t xml:space="preserve">Person</t>
  </si>
  <si>
    <t xml:space="preserve">Personen</t>
  </si>
  <si>
    <t xml:space="preserve">person</t>
  </si>
  <si>
    <t xml:space="preserve">Die Person ist nett.</t>
  </si>
  <si>
    <t xml:space="preserve">🎭</t>
  </si>
  <si>
    <t xml:space="preserve">Situation</t>
  </si>
  <si>
    <t xml:space="preserve">Situationen</t>
  </si>
  <si>
    <t xml:space="preserve">situation</t>
  </si>
  <si>
    <t xml:space="preserve">Die Situation ist interessant.</t>
  </si>
  <si>
    <t xml:space="preserve">💡</t>
  </si>
  <si>
    <t xml:space="preserve">Antwort</t>
  </si>
  <si>
    <t xml:space="preserve">Antworten</t>
  </si>
  <si>
    <t xml:space="preserve">answer</t>
  </si>
  <si>
    <t xml:space="preserve">Die Antwort ist interessant.</t>
  </si>
  <si>
    <t xml:space="preserve">📞</t>
  </si>
  <si>
    <t xml:space="preserve">Telefon</t>
  </si>
  <si>
    <t xml:space="preserve">Telefone</t>
  </si>
  <si>
    <t xml:space="preserve">telephone</t>
  </si>
  <si>
    <t xml:space="preserve">Das Telefon klingelt.</t>
  </si>
  <si>
    <t xml:space="preserve">🤝</t>
  </si>
  <si>
    <t xml:space="preserve">Partner</t>
  </si>
  <si>
    <t xml:space="preserve">partner (m)</t>
  </si>
  <si>
    <t xml:space="preserve">Der Partner ist interessant.</t>
  </si>
  <si>
    <t xml:space="preserve">Partnerin</t>
  </si>
  <si>
    <t xml:space="preserve">Partnerinnen</t>
  </si>
  <si>
    <t xml:space="preserve">partner (f)</t>
  </si>
  <si>
    <t xml:space="preserve">Die Partnerin ist interessant.</t>
  </si>
  <si>
    <t xml:space="preserve">🔤</t>
  </si>
  <si>
    <t xml:space="preserve">Buchstabe</t>
  </si>
  <si>
    <t xml:space="preserve">Buchstaben</t>
  </si>
  <si>
    <t xml:space="preserve">letter</t>
  </si>
  <si>
    <t xml:space="preserve">Der Buchstabe A ist groß.</t>
  </si>
  <si>
    <t xml:space="preserve">🔢</t>
  </si>
  <si>
    <t xml:space="preserve">Zahl</t>
  </si>
  <si>
    <t xml:space="preserve">Zahlen</t>
  </si>
  <si>
    <t xml:space="preserve">number</t>
  </si>
  <si>
    <t xml:space="preserve">Die Zahl ist groß.</t>
  </si>
  <si>
    <t xml:space="preserve">📱</t>
  </si>
  <si>
    <t xml:space="preserve">Handynummer</t>
  </si>
  <si>
    <t xml:space="preserve">Handynummern</t>
  </si>
  <si>
    <t xml:space="preserve">mobile number</t>
  </si>
  <si>
    <t xml:space="preserve">Die Handynummer ist interessant.</t>
  </si>
  <si>
    <t xml:space="preserve">☎️</t>
  </si>
  <si>
    <t xml:space="preserve">Telefonnummer</t>
  </si>
  <si>
    <t xml:space="preserve">Telefonnummern</t>
  </si>
  <si>
    <t xml:space="preserve">phone number</t>
  </si>
  <si>
    <t xml:space="preserve">Die Telefonnummer ist interessant.</t>
  </si>
  <si>
    <t xml:space="preserve">💭</t>
  </si>
  <si>
    <t xml:space="preserve">Gespräch</t>
  </si>
  <si>
    <t xml:space="preserve">Gespräche</t>
  </si>
  <si>
    <t xml:space="preserve">conversation</t>
  </si>
  <si>
    <t xml:space="preserve">Das Gespräch ist interessant.</t>
  </si>
  <si>
    <t xml:space="preserve">⚫</t>
  </si>
  <si>
    <t xml:space="preserve">Punkt</t>
  </si>
  <si>
    <t xml:space="preserve">Punkte</t>
  </si>
  <si>
    <t xml:space="preserve">period/point</t>
  </si>
  <si>
    <t xml:space="preserve">Der Punkt ist interessant.</t>
  </si>
  <si>
    <t xml:space="preserve">🗣️</t>
  </si>
  <si>
    <t xml:space="preserve">Dialog</t>
  </si>
  <si>
    <t xml:space="preserve">Dialoge</t>
  </si>
  <si>
    <t xml:space="preserve">dialogue</t>
  </si>
  <si>
    <t xml:space="preserve">Der Dialog ist interessant.</t>
  </si>
  <si>
    <t xml:space="preserve">📚</t>
  </si>
  <si>
    <t xml:space="preserve">Grammatik</t>
  </si>
  <si>
    <t xml:space="preserve">Grammatiken</t>
  </si>
  <si>
    <t xml:space="preserve">grammar</t>
  </si>
  <si>
    <t xml:space="preserve">Die Grammatik ist interessant.</t>
  </si>
  <si>
    <t xml:space="preserve">🌍</t>
  </si>
  <si>
    <t xml:space="preserve">Land</t>
  </si>
  <si>
    <t xml:space="preserve">Länder</t>
  </si>
  <si>
    <t xml:space="preserve">country</t>
  </si>
  <si>
    <t xml:space="preserve">Das Land ist groß.</t>
  </si>
  <si>
    <t xml:space="preserve">🏙️</t>
  </si>
  <si>
    <t xml:space="preserve">Stadt</t>
  </si>
  <si>
    <t xml:space="preserve">Städte</t>
  </si>
  <si>
    <t xml:space="preserve">city</t>
  </si>
  <si>
    <t xml:space="preserve">Die Stadt ist schön.</t>
  </si>
  <si>
    <t xml:space="preserve">📄</t>
  </si>
  <si>
    <t xml:space="preserve">Text</t>
  </si>
  <si>
    <t xml:space="preserve">Texte</t>
  </si>
  <si>
    <t xml:space="preserve">text</t>
  </si>
  <si>
    <t xml:space="preserve">Der Text ist interessant.</t>
  </si>
  <si>
    <t xml:space="preserve">📊</t>
  </si>
  <si>
    <t xml:space="preserve">Tabelle</t>
  </si>
  <si>
    <t xml:space="preserve">Tabellen</t>
  </si>
  <si>
    <t xml:space="preserve">table/chart</t>
  </si>
  <si>
    <t xml:space="preserve">Die Tabelle ist interessant.</t>
  </si>
  <si>
    <t xml:space="preserve">📋</t>
  </si>
  <si>
    <t xml:space="preserve">Kursplakat</t>
  </si>
  <si>
    <t xml:space="preserve">Kursplakate</t>
  </si>
  <si>
    <t xml:space="preserve">course poster</t>
  </si>
  <si>
    <t xml:space="preserve">Das Kursplakat ist interessant.</t>
  </si>
  <si>
    <t xml:space="preserve">Vorname</t>
  </si>
  <si>
    <t xml:space="preserve">Vornamen</t>
  </si>
  <si>
    <t xml:space="preserve">first name</t>
  </si>
  <si>
    <t xml:space="preserve">Der Vorname ist interessant.</t>
  </si>
  <si>
    <t xml:space="preserve">Nachname</t>
  </si>
  <si>
    <t xml:space="preserve">Nachnamen</t>
  </si>
  <si>
    <t xml:space="preserve">last name</t>
  </si>
  <si>
    <t xml:space="preserve">Der Nachname ist interessant.</t>
  </si>
  <si>
    <t xml:space="preserve">🗺️</t>
  </si>
  <si>
    <t xml:space="preserve">Reiseführer</t>
  </si>
  <si>
    <t xml:space="preserve">travel guide</t>
  </si>
  <si>
    <t xml:space="preserve">Der Reiseführer ist interessant.</t>
  </si>
  <si>
    <t xml:space="preserve">🎤</t>
  </si>
  <si>
    <t xml:space="preserve">Interview</t>
  </si>
  <si>
    <t xml:space="preserve">Interviews</t>
  </si>
  <si>
    <t xml:space="preserve">interview</t>
  </si>
  <si>
    <t xml:space="preserve">Das Interview ist interessant.</t>
  </si>
  <si>
    <t xml:space="preserve">📧</t>
  </si>
  <si>
    <t xml:space="preserve">E-Mail-Adresse</t>
  </si>
  <si>
    <t xml:space="preserve">E-Mail-Adressen</t>
  </si>
  <si>
    <t xml:space="preserve">email address</t>
  </si>
  <si>
    <t xml:space="preserve">Die E-Mail-Adresse ist interessant.</t>
  </si>
  <si>
    <t xml:space="preserve">Alphabet</t>
  </si>
  <si>
    <t xml:space="preserve">Alphabete</t>
  </si>
  <si>
    <t xml:space="preserve">alphabet</t>
  </si>
  <si>
    <t xml:space="preserve">Das Alphabet ist interessant.</t>
  </si>
  <si>
    <t xml:space="preserve">➖</t>
  </si>
  <si>
    <t xml:space="preserve">Unterstrich</t>
  </si>
  <si>
    <t xml:space="preserve">Unterstriche</t>
  </si>
  <si>
    <t xml:space="preserve">underscore</t>
  </si>
  <si>
    <t xml:space="preserve">Der Unterstrich ist interessant.</t>
  </si>
  <si>
    <t xml:space="preserve">❓</t>
  </si>
  <si>
    <t xml:space="preserve">W-Frage</t>
  </si>
  <si>
    <t xml:space="preserve">W-Fragen</t>
  </si>
  <si>
    <t xml:space="preserve">w-question</t>
  </si>
  <si>
    <t xml:space="preserve">Die W-Frage ist interessant.</t>
  </si>
  <si>
    <t xml:space="preserve">Aussagesatz</t>
  </si>
  <si>
    <t xml:space="preserve">Aussagesätze</t>
  </si>
  <si>
    <t xml:space="preserve">statement</t>
  </si>
  <si>
    <t xml:space="preserve">Der Aussagesatz ist interessant.</t>
  </si>
  <si>
    <t xml:space="preserve">🎮  GAME 1: Match the Article!  |  Find the correct DER / DIE / DAS</t>
  </si>
  <si>
    <t xml:space="preserve">👉  Look at each word and its emoji. Click the YELLOW cell and type DER, DIE, or DAS!</t>
  </si>
  <si>
    <t xml:space="preserve">DER = 🔵 PINK</t>
  </si>
  <si>
    <t xml:space="preserve">DIE = 🟣 PURPLE</t>
  </si>
  <si>
    <t xml:space="preserve">DAS = 🔷 BLUE</t>
  </si>
  <si>
    <t xml:space="preserve">✏️ Your Answer</t>
  </si>
  <si>
    <t xml:space="preserve">✅ Check</t>
  </si>
  <si>
    <t xml:space="preserve">🔢  GAME 2: Make it PLURAL!  |  Write the plural form of each word</t>
  </si>
  <si>
    <t xml:space="preserve">👉  Type the plural form in the YELLOW box. Example: die Flasche ➜ die Flaschen</t>
  </si>
  <si>
    <t xml:space="preserve">Singular</t>
  </si>
  <si>
    <t xml:space="preserve">✏️ Plural (your answer)</t>
  </si>
  <si>
    <t xml:space="preserve">🎨  GAME 3: Sort by Colour!  |  Each colour = one gender</t>
  </si>
  <si>
    <t xml:space="preserve">🔵  DER words (masculine)</t>
  </si>
  <si>
    <t xml:space="preserve">🟣  DIE words (feminine)</t>
  </si>
  <si>
    <t xml:space="preserve">🔷  DAS words (neuter)</t>
  </si>
  <si>
    <t xml:space="preserve">🏆  My Learning Progress  🏆</t>
  </si>
  <si>
    <t xml:space="preserve">Game / Activity</t>
  </si>
  <si>
    <t xml:space="preserve">My Score</t>
  </si>
  <si>
    <t xml:space="preserve">Max Score</t>
  </si>
  <si>
    <t xml:space="preserve">Game 1: Match the Article</t>
  </si>
  <si>
    <t xml:space="preserve">Game 2: Plural Challenge</t>
  </si>
  <si>
    <t xml:space="preserve">Reference Card Practice</t>
  </si>
  <si>
    <t xml:space="preserve">Total</t>
  </si>
  <si>
    <t xml:space="preserve">🌟 Great job learning German!  Keep practising every day! 🌟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</si>
</sst>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2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4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3"/>
      <color rgb="FFFF6B00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2D3047"/>
        <bgColor rgb="FF333300"/>
      </patternFill>
    </fill>
    <fill>
      <patternFill patternType="solid">
        <fgColor rgb="FFFF6B9D"/>
        <bgColor rgb="FFF3722C"/>
      </patternFill>
    </fill>
    <fill>
      <patternFill patternType="solid">
        <fgColor rgb="FFC77DFF"/>
        <bgColor rgb="FF9999FF"/>
      </patternFill>
    </fill>
    <fill>
      <patternFill patternType="solid">
        <fgColor rgb="FF4CC9F0"/>
        <bgColor rgb="FF99CCFF"/>
      </patternFill>
    </fill>
    <fill>
      <patternFill patternType="solid">
        <fgColor rgb="FF3A0CA3"/>
        <bgColor rgb="FF7209B7"/>
      </patternFill>
    </fill>
    <fill>
      <patternFill patternType="solid">
        <fgColor rgb="FFFFF9E6"/>
        <bgColor rgb="FFF8F8FF"/>
      </patternFill>
    </fill>
    <fill>
      <patternFill patternType="solid">
        <fgColor rgb="FFF8F8FF"/>
        <bgColor rgb="FFF0F8FF"/>
      </patternFill>
    </fill>
    <fill>
      <patternFill patternType="solid">
        <fgColor rgb="FFFFA07A"/>
        <bgColor rgb="FFFF6B9D"/>
      </patternFill>
    </fill>
    <fill>
      <patternFill patternType="solid">
        <fgColor rgb="FF7209B7"/>
        <bgColor rgb="FF800080"/>
      </patternFill>
    </fill>
    <fill>
      <patternFill patternType="solid">
        <fgColor rgb="FFFFE5B4"/>
        <bgColor rgb="FFFFFF99"/>
      </patternFill>
    </fill>
    <fill>
      <patternFill patternType="solid">
        <fgColor rgb="FFFFFF99"/>
        <bgColor rgb="FFFFE5B4"/>
      </patternFill>
    </fill>
    <fill>
      <patternFill patternType="solid">
        <fgColor rgb="FFF0F8FF"/>
        <bgColor rgb="FFF8F8FF"/>
      </patternFill>
    </fill>
    <fill>
      <patternFill patternType="solid">
        <fgColor rgb="FFF3722C"/>
        <bgColor rgb="FFFF6B00"/>
      </patternFill>
    </fill>
    <fill>
      <patternFill patternType="solid">
        <fgColor rgb="FF06D6A0"/>
        <bgColor rgb="FF00FFFF"/>
      </patternFill>
    </fill>
    <fill>
      <patternFill patternType="solid">
        <fgColor rgb="FF70E000"/>
        <bgColor rgb="FF00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888888"/>
      </left>
      <right/>
      <top style="medium">
        <color rgb="FF888888"/>
      </top>
      <bottom style="medium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209B7"/>
      <rgbColor rgb="FF008080"/>
      <rgbColor rgb="FFCCCCCC"/>
      <rgbColor rgb="FF888888"/>
      <rgbColor rgb="FF9999FF"/>
      <rgbColor rgb="FF993366"/>
      <rgbColor rgb="FFFFF9E6"/>
      <rgbColor rgb="FFF0F8FF"/>
      <rgbColor rgb="FF660066"/>
      <rgbColor rgb="FFFF6B9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D6A0"/>
      <rgbColor rgb="FFF8F8FF"/>
      <rgbColor rgb="FFCCFFCC"/>
      <rgbColor rgb="FFFFFF99"/>
      <rgbColor rgb="FF99CCFF"/>
      <rgbColor rgb="FFFFA07A"/>
      <rgbColor rgb="FFC77DFF"/>
      <rgbColor rgb="FFFFE5B4"/>
      <rgbColor rgb="FF3366FF"/>
      <rgbColor rgb="FF4CC9F0"/>
      <rgbColor rgb="FF70E000"/>
      <rgbColor rgb="FFFFD700"/>
      <rgbColor rgb="FFF3722C"/>
      <rgbColor rgb="FFFF6B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A0CA3"/>
      <rgbColor rgb="FF2D30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0CA3"/>
    <pageSetUpPr fitToPage="false"/>
  </sheetPr>
  <dimension ref="A1:H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40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4.5" hidden="false" customHeight="true" outlineLevel="0" collapsed="false">
      <c r="C2" s="2" t="s">
        <v>1</v>
      </c>
      <c r="D2" s="2"/>
      <c r="E2" s="3" t="s">
        <v>2</v>
      </c>
      <c r="F2" s="3"/>
      <c r="G2" s="4" t="s">
        <v>3</v>
      </c>
      <c r="H2" s="4"/>
    </row>
    <row r="3" customFormat="false" ht="27.75" hidden="false" customHeight="true" outlineLevel="0" collapsed="false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</row>
    <row r="4" customFormat="false" ht="25.5" hidden="false" customHeight="true" outlineLevel="0" collapsed="false">
      <c r="A4" s="6" t="n">
        <v>1</v>
      </c>
      <c r="B4" s="6" t="s">
        <v>11</v>
      </c>
      <c r="C4" s="6" t="s">
        <v>12</v>
      </c>
      <c r="D4" s="7" t="s">
        <v>13</v>
      </c>
      <c r="E4" s="6" t="s">
        <v>14</v>
      </c>
      <c r="F4" s="6" t="s">
        <v>15</v>
      </c>
      <c r="G4" s="6" t="s">
        <v>16</v>
      </c>
    </row>
    <row r="5" customFormat="false" ht="25.5" hidden="false" customHeight="true" outlineLevel="0" collapsed="false">
      <c r="A5" s="8" t="n">
        <v>2</v>
      </c>
      <c r="B5" s="8" t="s">
        <v>17</v>
      </c>
      <c r="C5" s="8" t="s">
        <v>18</v>
      </c>
      <c r="D5" s="9" t="s">
        <v>19</v>
      </c>
      <c r="E5" s="8" t="s">
        <v>20</v>
      </c>
      <c r="F5" s="8" t="s">
        <v>21</v>
      </c>
      <c r="G5" s="8" t="s">
        <v>22</v>
      </c>
    </row>
    <row r="6" customFormat="false" ht="25.5" hidden="false" customHeight="true" outlineLevel="0" collapsed="false">
      <c r="A6" s="6" t="n">
        <v>3</v>
      </c>
      <c r="B6" s="6" t="s">
        <v>23</v>
      </c>
      <c r="C6" s="6" t="s">
        <v>24</v>
      </c>
      <c r="D6" s="7" t="s">
        <v>13</v>
      </c>
      <c r="E6" s="6" t="s">
        <v>25</v>
      </c>
      <c r="F6" s="6" t="s">
        <v>26</v>
      </c>
      <c r="G6" s="6" t="s">
        <v>27</v>
      </c>
    </row>
    <row r="7" customFormat="false" ht="25.5" hidden="false" customHeight="true" outlineLevel="0" collapsed="false">
      <c r="A7" s="8" t="n">
        <v>4</v>
      </c>
      <c r="B7" s="8" t="s">
        <v>28</v>
      </c>
      <c r="C7" s="8" t="s">
        <v>29</v>
      </c>
      <c r="D7" s="9" t="s">
        <v>19</v>
      </c>
      <c r="E7" s="8" t="s">
        <v>30</v>
      </c>
      <c r="F7" s="8" t="s">
        <v>31</v>
      </c>
      <c r="G7" s="8" t="s">
        <v>32</v>
      </c>
    </row>
    <row r="8" customFormat="false" ht="25.5" hidden="false" customHeight="true" outlineLevel="0" collapsed="false">
      <c r="A8" s="6" t="n">
        <v>5</v>
      </c>
      <c r="B8" s="6" t="s">
        <v>33</v>
      </c>
      <c r="C8" s="6" t="s">
        <v>34</v>
      </c>
      <c r="D8" s="10" t="s">
        <v>35</v>
      </c>
      <c r="E8" s="6" t="s">
        <v>36</v>
      </c>
      <c r="F8" s="6" t="s">
        <v>37</v>
      </c>
      <c r="G8" s="6" t="s">
        <v>38</v>
      </c>
    </row>
    <row r="9" customFormat="false" ht="25.5" hidden="false" customHeight="true" outlineLevel="0" collapsed="false">
      <c r="A9" s="8" t="n">
        <v>6</v>
      </c>
      <c r="B9" s="8" t="s">
        <v>39</v>
      </c>
      <c r="C9" s="8" t="s">
        <v>40</v>
      </c>
      <c r="D9" s="10" t="s">
        <v>35</v>
      </c>
      <c r="E9" s="8" t="s">
        <v>40</v>
      </c>
      <c r="F9" s="8" t="s">
        <v>41</v>
      </c>
      <c r="G9" s="8" t="s">
        <v>42</v>
      </c>
    </row>
    <row r="10" customFormat="false" ht="25.5" hidden="false" customHeight="true" outlineLevel="0" collapsed="false">
      <c r="A10" s="6" t="n">
        <v>7</v>
      </c>
      <c r="B10" s="6" t="s">
        <v>43</v>
      </c>
      <c r="C10" s="6" t="s">
        <v>44</v>
      </c>
      <c r="D10" s="11" t="s">
        <v>45</v>
      </c>
      <c r="E10" s="6" t="s">
        <v>46</v>
      </c>
      <c r="F10" s="6" t="s">
        <v>47</v>
      </c>
      <c r="G10" s="6" t="s">
        <v>48</v>
      </c>
    </row>
    <row r="11" customFormat="false" ht="25.5" hidden="false" customHeight="true" outlineLevel="0" collapsed="false">
      <c r="A11" s="8" t="n">
        <v>8</v>
      </c>
      <c r="B11" s="8" t="s">
        <v>49</v>
      </c>
      <c r="C11" s="8" t="s">
        <v>50</v>
      </c>
      <c r="D11" s="7" t="s">
        <v>13</v>
      </c>
      <c r="E11" s="8" t="s">
        <v>51</v>
      </c>
      <c r="F11" s="8" t="s">
        <v>52</v>
      </c>
      <c r="G11" s="8" t="s">
        <v>53</v>
      </c>
    </row>
    <row r="12" customFormat="false" ht="25.5" hidden="false" customHeight="true" outlineLevel="0" collapsed="false">
      <c r="A12" s="6" t="n">
        <v>9</v>
      </c>
      <c r="B12" s="6" t="s">
        <v>54</v>
      </c>
      <c r="C12" s="6" t="s">
        <v>55</v>
      </c>
      <c r="D12" s="9" t="s">
        <v>19</v>
      </c>
      <c r="E12" s="6" t="s">
        <v>55</v>
      </c>
      <c r="F12" s="6" t="s">
        <v>56</v>
      </c>
      <c r="G12" s="6" t="s">
        <v>57</v>
      </c>
    </row>
    <row r="13" customFormat="false" ht="25.5" hidden="false" customHeight="true" outlineLevel="0" collapsed="false">
      <c r="A13" s="8" t="n">
        <v>10</v>
      </c>
      <c r="B13" s="8" t="s">
        <v>58</v>
      </c>
      <c r="C13" s="8" t="s">
        <v>59</v>
      </c>
      <c r="D13" s="10" t="s">
        <v>35</v>
      </c>
      <c r="E13" s="8" t="s">
        <v>60</v>
      </c>
      <c r="F13" s="8" t="s">
        <v>61</v>
      </c>
      <c r="G13" s="8" t="s">
        <v>62</v>
      </c>
    </row>
    <row r="14" customFormat="false" ht="25.5" hidden="false" customHeight="true" outlineLevel="0" collapsed="false">
      <c r="A14" s="6" t="n">
        <v>11</v>
      </c>
      <c r="B14" s="6" t="s">
        <v>63</v>
      </c>
      <c r="C14" s="6" t="s">
        <v>64</v>
      </c>
      <c r="D14" s="7" t="s">
        <v>13</v>
      </c>
      <c r="E14" s="6" t="s">
        <v>65</v>
      </c>
      <c r="F14" s="6" t="s">
        <v>66</v>
      </c>
      <c r="G14" s="6" t="s">
        <v>67</v>
      </c>
    </row>
    <row r="15" customFormat="false" ht="25.5" hidden="false" customHeight="true" outlineLevel="0" collapsed="false">
      <c r="A15" s="8" t="n">
        <v>12</v>
      </c>
      <c r="B15" s="8" t="s">
        <v>68</v>
      </c>
      <c r="C15" s="8" t="s">
        <v>69</v>
      </c>
      <c r="D15" s="9" t="s">
        <v>19</v>
      </c>
      <c r="E15" s="8" t="s">
        <v>70</v>
      </c>
      <c r="F15" s="8" t="s">
        <v>71</v>
      </c>
      <c r="G15" s="8" t="s">
        <v>72</v>
      </c>
    </row>
    <row r="16" customFormat="false" ht="25.5" hidden="false" customHeight="true" outlineLevel="0" collapsed="false">
      <c r="A16" s="6" t="n">
        <v>13</v>
      </c>
      <c r="B16" s="6" t="s">
        <v>73</v>
      </c>
      <c r="C16" s="6" t="s">
        <v>74</v>
      </c>
      <c r="D16" s="7" t="s">
        <v>13</v>
      </c>
      <c r="E16" s="6" t="s">
        <v>75</v>
      </c>
      <c r="F16" s="6" t="s">
        <v>76</v>
      </c>
      <c r="G16" s="6" t="s">
        <v>77</v>
      </c>
    </row>
    <row r="17" customFormat="false" ht="25.5" hidden="false" customHeight="true" outlineLevel="0" collapsed="false">
      <c r="A17" s="8" t="n">
        <v>14</v>
      </c>
      <c r="B17" s="8" t="s">
        <v>78</v>
      </c>
      <c r="C17" s="8" t="s">
        <v>79</v>
      </c>
      <c r="D17" s="7" t="s">
        <v>13</v>
      </c>
      <c r="E17" s="8" t="s">
        <v>80</v>
      </c>
      <c r="F17" s="8" t="s">
        <v>81</v>
      </c>
      <c r="G17" s="8" t="s">
        <v>82</v>
      </c>
    </row>
    <row r="18" customFormat="false" ht="25.5" hidden="false" customHeight="true" outlineLevel="0" collapsed="false">
      <c r="A18" s="6" t="n">
        <v>15</v>
      </c>
      <c r="B18" s="6" t="s">
        <v>83</v>
      </c>
      <c r="C18" s="6" t="s">
        <v>84</v>
      </c>
      <c r="D18" s="7" t="s">
        <v>13</v>
      </c>
      <c r="E18" s="6" t="s">
        <v>85</v>
      </c>
      <c r="F18" s="6" t="s">
        <v>86</v>
      </c>
      <c r="G18" s="6" t="s">
        <v>87</v>
      </c>
    </row>
    <row r="19" customFormat="false" ht="25.5" hidden="false" customHeight="true" outlineLevel="0" collapsed="false">
      <c r="A19" s="8" t="n">
        <v>16</v>
      </c>
      <c r="B19" s="8" t="s">
        <v>88</v>
      </c>
      <c r="C19" s="8" t="s">
        <v>89</v>
      </c>
      <c r="D19" s="9" t="s">
        <v>19</v>
      </c>
      <c r="E19" s="8" t="s">
        <v>90</v>
      </c>
      <c r="F19" s="8" t="s">
        <v>91</v>
      </c>
      <c r="G19" s="8" t="s">
        <v>92</v>
      </c>
    </row>
    <row r="20" customFormat="false" ht="25.5" hidden="false" customHeight="true" outlineLevel="0" collapsed="false">
      <c r="A20" s="6" t="n">
        <v>17</v>
      </c>
      <c r="B20" s="6" t="s">
        <v>93</v>
      </c>
      <c r="C20" s="6" t="s">
        <v>94</v>
      </c>
      <c r="D20" s="10" t="s">
        <v>35</v>
      </c>
      <c r="E20" s="6" t="s">
        <v>94</v>
      </c>
      <c r="F20" s="6" t="s">
        <v>95</v>
      </c>
      <c r="G20" s="6" t="s">
        <v>96</v>
      </c>
    </row>
    <row r="21" customFormat="false" ht="25.5" hidden="false" customHeight="true" outlineLevel="0" collapsed="false">
      <c r="A21" s="8" t="n">
        <v>18</v>
      </c>
      <c r="B21" s="8" t="s">
        <v>93</v>
      </c>
      <c r="C21" s="8" t="s">
        <v>97</v>
      </c>
      <c r="D21" s="7" t="s">
        <v>13</v>
      </c>
      <c r="E21" s="8" t="s">
        <v>98</v>
      </c>
      <c r="F21" s="8" t="s">
        <v>99</v>
      </c>
      <c r="G21" s="8" t="s">
        <v>100</v>
      </c>
    </row>
    <row r="22" customFormat="false" ht="25.5" hidden="false" customHeight="true" outlineLevel="0" collapsed="false">
      <c r="A22" s="6" t="n">
        <v>19</v>
      </c>
      <c r="B22" s="6" t="s">
        <v>101</v>
      </c>
      <c r="C22" s="6" t="s">
        <v>102</v>
      </c>
      <c r="D22" s="10" t="s">
        <v>35</v>
      </c>
      <c r="E22" s="6" t="s">
        <v>103</v>
      </c>
      <c r="F22" s="6" t="s">
        <v>104</v>
      </c>
      <c r="G22" s="6" t="s">
        <v>105</v>
      </c>
    </row>
    <row r="23" customFormat="false" ht="25.5" hidden="false" customHeight="true" outlineLevel="0" collapsed="false">
      <c r="A23" s="8" t="n">
        <v>20</v>
      </c>
      <c r="B23" s="8" t="s">
        <v>106</v>
      </c>
      <c r="C23" s="8" t="s">
        <v>107</v>
      </c>
      <c r="D23" s="7" t="s">
        <v>13</v>
      </c>
      <c r="E23" s="8" t="s">
        <v>108</v>
      </c>
      <c r="F23" s="8" t="s">
        <v>109</v>
      </c>
      <c r="G23" s="8" t="s">
        <v>110</v>
      </c>
    </row>
    <row r="24" customFormat="false" ht="25.5" hidden="false" customHeight="true" outlineLevel="0" collapsed="false">
      <c r="A24" s="6" t="n">
        <v>21</v>
      </c>
      <c r="B24" s="6" t="s">
        <v>111</v>
      </c>
      <c r="C24" s="6" t="s">
        <v>112</v>
      </c>
      <c r="D24" s="7" t="s">
        <v>13</v>
      </c>
      <c r="E24" s="6" t="s">
        <v>113</v>
      </c>
      <c r="F24" s="6" t="s">
        <v>114</v>
      </c>
      <c r="G24" s="6" t="s">
        <v>115</v>
      </c>
    </row>
    <row r="25" customFormat="false" ht="25.5" hidden="false" customHeight="true" outlineLevel="0" collapsed="false">
      <c r="A25" s="8" t="n">
        <v>22</v>
      </c>
      <c r="B25" s="8" t="s">
        <v>116</v>
      </c>
      <c r="C25" s="8" t="s">
        <v>117</v>
      </c>
      <c r="D25" s="7" t="s">
        <v>13</v>
      </c>
      <c r="E25" s="8" t="s">
        <v>118</v>
      </c>
      <c r="F25" s="8" t="s">
        <v>119</v>
      </c>
      <c r="G25" s="8" t="s">
        <v>120</v>
      </c>
    </row>
    <row r="26" customFormat="false" ht="25.5" hidden="false" customHeight="true" outlineLevel="0" collapsed="false">
      <c r="A26" s="6" t="n">
        <v>23</v>
      </c>
      <c r="B26" s="6" t="s">
        <v>121</v>
      </c>
      <c r="C26" s="6" t="s">
        <v>122</v>
      </c>
      <c r="D26" s="9" t="s">
        <v>19</v>
      </c>
      <c r="E26" s="6" t="s">
        <v>123</v>
      </c>
      <c r="F26" s="6" t="s">
        <v>124</v>
      </c>
      <c r="G26" s="6" t="s">
        <v>125</v>
      </c>
    </row>
    <row r="27" customFormat="false" ht="25.5" hidden="false" customHeight="true" outlineLevel="0" collapsed="false">
      <c r="A27" s="8" t="n">
        <v>24</v>
      </c>
      <c r="B27" s="8" t="s">
        <v>126</v>
      </c>
      <c r="C27" s="8" t="s">
        <v>127</v>
      </c>
      <c r="D27" s="10" t="s">
        <v>35</v>
      </c>
      <c r="E27" s="8" t="s">
        <v>128</v>
      </c>
      <c r="F27" s="8" t="s">
        <v>129</v>
      </c>
      <c r="G27" s="8" t="s">
        <v>130</v>
      </c>
    </row>
    <row r="28" customFormat="false" ht="25.5" hidden="false" customHeight="true" outlineLevel="0" collapsed="false">
      <c r="A28" s="6" t="n">
        <v>25</v>
      </c>
      <c r="B28" s="6" t="s">
        <v>131</v>
      </c>
      <c r="C28" s="6" t="s">
        <v>132</v>
      </c>
      <c r="D28" s="10" t="s">
        <v>35</v>
      </c>
      <c r="E28" s="6" t="s">
        <v>133</v>
      </c>
      <c r="F28" s="6" t="s">
        <v>134</v>
      </c>
      <c r="G28" s="6" t="s">
        <v>135</v>
      </c>
    </row>
    <row r="29" customFormat="false" ht="25.5" hidden="false" customHeight="true" outlineLevel="0" collapsed="false">
      <c r="A29" s="8" t="n">
        <v>26</v>
      </c>
      <c r="B29" s="8" t="s">
        <v>136</v>
      </c>
      <c r="C29" s="8" t="s">
        <v>137</v>
      </c>
      <c r="D29" s="7" t="s">
        <v>13</v>
      </c>
      <c r="E29" s="8" t="s">
        <v>138</v>
      </c>
      <c r="F29" s="8" t="s">
        <v>139</v>
      </c>
      <c r="G29" s="8" t="s">
        <v>140</v>
      </c>
    </row>
    <row r="30" customFormat="false" ht="25.5" hidden="false" customHeight="true" outlineLevel="0" collapsed="false">
      <c r="A30" s="6" t="n">
        <v>27</v>
      </c>
      <c r="B30" s="6" t="s">
        <v>141</v>
      </c>
      <c r="C30" s="6" t="s">
        <v>142</v>
      </c>
      <c r="D30" s="9" t="s">
        <v>19</v>
      </c>
      <c r="E30" s="6" t="s">
        <v>143</v>
      </c>
      <c r="F30" s="6" t="s">
        <v>144</v>
      </c>
      <c r="G30" s="6" t="s">
        <v>145</v>
      </c>
    </row>
    <row r="31" customFormat="false" ht="25.5" hidden="false" customHeight="true" outlineLevel="0" collapsed="false">
      <c r="A31" s="8" t="n">
        <v>28</v>
      </c>
      <c r="B31" s="8" t="s">
        <v>146</v>
      </c>
      <c r="C31" s="8" t="s">
        <v>147</v>
      </c>
      <c r="D31" s="7" t="s">
        <v>13</v>
      </c>
      <c r="E31" s="8" t="s">
        <v>148</v>
      </c>
      <c r="F31" s="8" t="s">
        <v>149</v>
      </c>
      <c r="G31" s="8" t="s">
        <v>150</v>
      </c>
    </row>
    <row r="32" customFormat="false" ht="25.5" hidden="false" customHeight="true" outlineLevel="0" collapsed="false">
      <c r="A32" s="6" t="n">
        <v>29</v>
      </c>
      <c r="B32" s="6" t="s">
        <v>151</v>
      </c>
      <c r="C32" s="6" t="s">
        <v>152</v>
      </c>
      <c r="D32" s="10" t="s">
        <v>35</v>
      </c>
      <c r="E32" s="6" t="s">
        <v>153</v>
      </c>
      <c r="F32" s="6" t="s">
        <v>154</v>
      </c>
      <c r="G32" s="6" t="s">
        <v>155</v>
      </c>
    </row>
    <row r="33" customFormat="false" ht="25.5" hidden="false" customHeight="true" outlineLevel="0" collapsed="false">
      <c r="A33" s="8" t="n">
        <v>30</v>
      </c>
      <c r="B33" s="8" t="s">
        <v>156</v>
      </c>
      <c r="C33" s="8" t="s">
        <v>157</v>
      </c>
      <c r="D33" s="7" t="s">
        <v>13</v>
      </c>
      <c r="E33" s="8" t="s">
        <v>158</v>
      </c>
      <c r="F33" s="8" t="s">
        <v>159</v>
      </c>
      <c r="G33" s="8" t="s">
        <v>160</v>
      </c>
    </row>
    <row r="34" customFormat="false" ht="25.5" hidden="false" customHeight="true" outlineLevel="0" collapsed="false">
      <c r="A34" s="6" t="n">
        <v>31</v>
      </c>
      <c r="B34" s="6" t="s">
        <v>161</v>
      </c>
      <c r="C34" s="6" t="s">
        <v>162</v>
      </c>
      <c r="D34" s="9" t="s">
        <v>19</v>
      </c>
      <c r="E34" s="6" t="s">
        <v>163</v>
      </c>
      <c r="F34" s="6" t="s">
        <v>164</v>
      </c>
      <c r="G34" s="6" t="s">
        <v>165</v>
      </c>
    </row>
    <row r="35" customFormat="false" ht="25.5" hidden="false" customHeight="true" outlineLevel="0" collapsed="false">
      <c r="A35" s="8" t="n">
        <v>32</v>
      </c>
      <c r="B35" s="8" t="s">
        <v>73</v>
      </c>
      <c r="C35" s="8" t="s">
        <v>166</v>
      </c>
      <c r="D35" s="10" t="s">
        <v>35</v>
      </c>
      <c r="E35" s="8" t="s">
        <v>167</v>
      </c>
      <c r="F35" s="8" t="s">
        <v>168</v>
      </c>
      <c r="G35" s="8" t="s">
        <v>169</v>
      </c>
    </row>
    <row r="36" customFormat="false" ht="25.5" hidden="false" customHeight="true" outlineLevel="0" collapsed="false">
      <c r="A36" s="6" t="n">
        <v>33</v>
      </c>
      <c r="B36" s="6" t="s">
        <v>73</v>
      </c>
      <c r="C36" s="6" t="s">
        <v>170</v>
      </c>
      <c r="D36" s="10" t="s">
        <v>35</v>
      </c>
      <c r="E36" s="6" t="s">
        <v>171</v>
      </c>
      <c r="F36" s="6" t="s">
        <v>172</v>
      </c>
      <c r="G36" s="6" t="s">
        <v>173</v>
      </c>
    </row>
    <row r="37" customFormat="false" ht="25.5" hidden="false" customHeight="true" outlineLevel="0" collapsed="false">
      <c r="A37" s="8" t="n">
        <v>34</v>
      </c>
      <c r="B37" s="8" t="s">
        <v>174</v>
      </c>
      <c r="C37" s="8" t="s">
        <v>175</v>
      </c>
      <c r="D37" s="10" t="s">
        <v>35</v>
      </c>
      <c r="E37" s="8" t="s">
        <v>175</v>
      </c>
      <c r="F37" s="8" t="s">
        <v>176</v>
      </c>
      <c r="G37" s="8" t="s">
        <v>177</v>
      </c>
    </row>
    <row r="38" customFormat="false" ht="25.5" hidden="false" customHeight="true" outlineLevel="0" collapsed="false">
      <c r="A38" s="6" t="n">
        <v>35</v>
      </c>
      <c r="B38" s="6" t="s">
        <v>178</v>
      </c>
      <c r="C38" s="6" t="s">
        <v>179</v>
      </c>
      <c r="D38" s="9" t="s">
        <v>19</v>
      </c>
      <c r="E38" s="6" t="s">
        <v>180</v>
      </c>
      <c r="F38" s="6" t="s">
        <v>181</v>
      </c>
      <c r="G38" s="6" t="s">
        <v>182</v>
      </c>
    </row>
    <row r="39" customFormat="false" ht="25.5" hidden="false" customHeight="true" outlineLevel="0" collapsed="false">
      <c r="A39" s="8" t="n">
        <v>36</v>
      </c>
      <c r="B39" s="8" t="s">
        <v>183</v>
      </c>
      <c r="C39" s="8" t="s">
        <v>184</v>
      </c>
      <c r="D39" s="7" t="s">
        <v>13</v>
      </c>
      <c r="E39" s="8" t="s">
        <v>185</v>
      </c>
      <c r="F39" s="8" t="s">
        <v>186</v>
      </c>
      <c r="G39" s="8" t="s">
        <v>187</v>
      </c>
    </row>
    <row r="40" customFormat="false" ht="25.5" hidden="false" customHeight="true" outlineLevel="0" collapsed="false">
      <c r="A40" s="6" t="n">
        <v>37</v>
      </c>
      <c r="B40" s="6" t="s">
        <v>101</v>
      </c>
      <c r="C40" s="6" t="s">
        <v>188</v>
      </c>
      <c r="D40" s="9" t="s">
        <v>19</v>
      </c>
      <c r="E40" s="6" t="s">
        <v>189</v>
      </c>
      <c r="F40" s="6" t="s">
        <v>190</v>
      </c>
      <c r="G40" s="6" t="s">
        <v>191</v>
      </c>
    </row>
    <row r="41" customFormat="false" ht="25.5" hidden="false" customHeight="true" outlineLevel="0" collapsed="false">
      <c r="A41" s="8" t="n">
        <v>38</v>
      </c>
      <c r="B41" s="8" t="s">
        <v>192</v>
      </c>
      <c r="C41" s="8" t="s">
        <v>193</v>
      </c>
      <c r="D41" s="10" t="s">
        <v>35</v>
      </c>
      <c r="E41" s="8" t="s">
        <v>194</v>
      </c>
      <c r="F41" s="8" t="s">
        <v>195</v>
      </c>
      <c r="G41" s="8" t="s">
        <v>196</v>
      </c>
    </row>
    <row r="42" customFormat="false" ht="25.5" hidden="false" customHeight="true" outlineLevel="0" collapsed="false">
      <c r="A42" s="6" t="n">
        <v>39</v>
      </c>
      <c r="B42" s="6" t="s">
        <v>197</v>
      </c>
      <c r="C42" s="6" t="s">
        <v>198</v>
      </c>
      <c r="D42" s="7" t="s">
        <v>13</v>
      </c>
      <c r="E42" s="6" t="s">
        <v>199</v>
      </c>
      <c r="F42" s="6" t="s">
        <v>200</v>
      </c>
      <c r="G42" s="6" t="s">
        <v>201</v>
      </c>
    </row>
    <row r="43" customFormat="false" ht="25.5" hidden="false" customHeight="true" outlineLevel="0" collapsed="false">
      <c r="A43" s="8" t="n">
        <v>40</v>
      </c>
      <c r="B43" s="8" t="s">
        <v>63</v>
      </c>
      <c r="C43" s="8" t="s">
        <v>202</v>
      </c>
      <c r="D43" s="10" t="s">
        <v>35</v>
      </c>
      <c r="E43" s="8" t="s">
        <v>203</v>
      </c>
      <c r="F43" s="8" t="s">
        <v>204</v>
      </c>
      <c r="G43" s="8" t="s">
        <v>205</v>
      </c>
    </row>
  </sheetData>
  <mergeCells count="4">
    <mergeCell ref="A1:G1"/>
    <mergeCell ref="C2:D2"/>
    <mergeCell ref="E2:F2"/>
    <mergeCell ref="G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209B7"/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4" min="3" style="0" width="20"/>
    <col collapsed="false" customWidth="true" hidden="false" outlineLevel="0" max="6" min="5" style="0" width="16"/>
  </cols>
  <sheetData>
    <row r="1" customFormat="false" ht="43.5" hidden="false" customHeight="true" outlineLevel="0" collapsed="false">
      <c r="A1" s="12" t="s">
        <v>206</v>
      </c>
      <c r="B1" s="12"/>
      <c r="C1" s="12"/>
      <c r="D1" s="12"/>
      <c r="E1" s="12"/>
      <c r="F1" s="12"/>
    </row>
    <row r="2" customFormat="false" ht="27.75" hidden="false" customHeight="true" outlineLevel="0" collapsed="false">
      <c r="A2" s="13" t="s">
        <v>207</v>
      </c>
      <c r="B2" s="13"/>
      <c r="C2" s="13"/>
      <c r="D2" s="13"/>
      <c r="E2" s="13"/>
      <c r="F2" s="13"/>
    </row>
    <row r="3" customFormat="false" ht="24" hidden="false" customHeight="true" outlineLevel="0" collapsed="false">
      <c r="B3" s="14" t="s">
        <v>208</v>
      </c>
      <c r="C3" s="15" t="s">
        <v>209</v>
      </c>
      <c r="D3" s="16" t="s">
        <v>210</v>
      </c>
    </row>
    <row r="4" customFormat="false" ht="27.75" hidden="false" customHeight="true" outlineLevel="0" collapsed="false">
      <c r="A4" s="17" t="s">
        <v>4</v>
      </c>
      <c r="B4" s="17" t="s">
        <v>5</v>
      </c>
      <c r="C4" s="17" t="s">
        <v>6</v>
      </c>
      <c r="D4" s="17" t="s">
        <v>9</v>
      </c>
      <c r="E4" s="17" t="s">
        <v>211</v>
      </c>
      <c r="F4" s="17" t="s">
        <v>212</v>
      </c>
    </row>
    <row r="5" customFormat="false" ht="25.5" hidden="false" customHeight="true" outlineLevel="0" collapsed="false">
      <c r="A5" s="6" t="n">
        <v>1</v>
      </c>
      <c r="B5" s="18" t="s">
        <v>111</v>
      </c>
      <c r="C5" s="19" t="s">
        <v>112</v>
      </c>
      <c r="D5" s="6" t="s">
        <v>114</v>
      </c>
      <c r="E5" s="20"/>
      <c r="F5" s="21" t="str">
        <f aca="false">IF(E5="","⬜ Enter answer",IF(UPPER(E5)="DIE","✅ Correct! 🎉","❌ Try again!"))</f>
        <v>⬜ Enter answer</v>
      </c>
    </row>
    <row r="6" customFormat="false" ht="25.5" hidden="false" customHeight="true" outlineLevel="0" collapsed="false">
      <c r="A6" s="22" t="n">
        <v>2</v>
      </c>
      <c r="B6" s="18" t="s">
        <v>88</v>
      </c>
      <c r="C6" s="23" t="s">
        <v>89</v>
      </c>
      <c r="D6" s="22" t="s">
        <v>91</v>
      </c>
      <c r="E6" s="20"/>
      <c r="F6" s="24" t="str">
        <f aca="false">IF(E6="","⬜ Enter answer",IF(UPPER(E6)="DAS","✅ Correct! 🎉","❌ Try again!"))</f>
        <v>⬜ Enter answer</v>
      </c>
    </row>
    <row r="7" customFormat="false" ht="25.5" hidden="false" customHeight="true" outlineLevel="0" collapsed="false">
      <c r="A7" s="6" t="n">
        <v>3</v>
      </c>
      <c r="B7" s="18" t="s">
        <v>68</v>
      </c>
      <c r="C7" s="19" t="s">
        <v>69</v>
      </c>
      <c r="D7" s="6" t="s">
        <v>71</v>
      </c>
      <c r="E7" s="20"/>
      <c r="F7" s="21" t="str">
        <f aca="false">IF(E7="","⬜ Enter answer",IF(UPPER(E7)="DAS","✅ Correct! 🎉","❌ Try again!"))</f>
        <v>⬜ Enter answer</v>
      </c>
    </row>
    <row r="8" customFormat="false" ht="25.5" hidden="false" customHeight="true" outlineLevel="0" collapsed="false">
      <c r="A8" s="22" t="n">
        <v>4</v>
      </c>
      <c r="B8" s="18" t="s">
        <v>146</v>
      </c>
      <c r="C8" s="23" t="s">
        <v>147</v>
      </c>
      <c r="D8" s="22" t="s">
        <v>149</v>
      </c>
      <c r="E8" s="20"/>
      <c r="F8" s="24" t="str">
        <f aca="false">IF(E8="","⬜ Enter answer",IF(UPPER(E8)="DIE","✅ Correct! 🎉","❌ Try again!"))</f>
        <v>⬜ Enter answer</v>
      </c>
    </row>
    <row r="9" customFormat="false" ht="25.5" hidden="false" customHeight="true" outlineLevel="0" collapsed="false">
      <c r="A9" s="6" t="n">
        <v>5</v>
      </c>
      <c r="B9" s="18" t="s">
        <v>126</v>
      </c>
      <c r="C9" s="19" t="s">
        <v>127</v>
      </c>
      <c r="D9" s="6" t="s">
        <v>129</v>
      </c>
      <c r="E9" s="20"/>
      <c r="F9" s="21" t="str">
        <f aca="false">IF(E9="","⬜ Enter answer",IF(UPPER(E9)="DER","✅ Correct! 🎉","❌ Try again!"))</f>
        <v>⬜ Enter answer</v>
      </c>
    </row>
    <row r="10" customFormat="false" ht="25.5" hidden="false" customHeight="true" outlineLevel="0" collapsed="false">
      <c r="A10" s="22" t="n">
        <v>6</v>
      </c>
      <c r="B10" s="18" t="s">
        <v>49</v>
      </c>
      <c r="C10" s="23" t="s">
        <v>50</v>
      </c>
      <c r="D10" s="22" t="s">
        <v>52</v>
      </c>
      <c r="E10" s="20"/>
      <c r="F10" s="24" t="str">
        <f aca="false">IF(E10="","⬜ Enter answer",IF(UPPER(E10)="DIE","✅ Correct! 🎉","❌ Try again!"))</f>
        <v>⬜ Enter answer</v>
      </c>
    </row>
    <row r="11" customFormat="false" ht="25.5" hidden="false" customHeight="true" outlineLevel="0" collapsed="false">
      <c r="A11" s="6" t="n">
        <v>7</v>
      </c>
      <c r="B11" s="18" t="s">
        <v>39</v>
      </c>
      <c r="C11" s="19" t="s">
        <v>40</v>
      </c>
      <c r="D11" s="6" t="s">
        <v>41</v>
      </c>
      <c r="E11" s="20"/>
      <c r="F11" s="21" t="str">
        <f aca="false">IF(E11="","⬜ Enter answer",IF(UPPER(E11)="DER","✅ Correct! 🎉","❌ Try again!"))</f>
        <v>⬜ Enter answer</v>
      </c>
    </row>
    <row r="12" customFormat="false" ht="25.5" hidden="false" customHeight="true" outlineLevel="0" collapsed="false">
      <c r="A12" s="22" t="n">
        <v>8</v>
      </c>
      <c r="B12" s="18" t="s">
        <v>78</v>
      </c>
      <c r="C12" s="23" t="s">
        <v>79</v>
      </c>
      <c r="D12" s="22" t="s">
        <v>81</v>
      </c>
      <c r="E12" s="20"/>
      <c r="F12" s="24" t="str">
        <f aca="false">IF(E12="","⬜ Enter answer",IF(UPPER(E12)="DIE","✅ Correct! 🎉","❌ Try again!"))</f>
        <v>⬜ Enter answer</v>
      </c>
    </row>
    <row r="13" customFormat="false" ht="25.5" hidden="false" customHeight="true" outlineLevel="0" collapsed="false">
      <c r="A13" s="6" t="n">
        <v>9</v>
      </c>
      <c r="B13" s="18" t="s">
        <v>73</v>
      </c>
      <c r="C13" s="19" t="s">
        <v>74</v>
      </c>
      <c r="D13" s="6" t="s">
        <v>76</v>
      </c>
      <c r="E13" s="20"/>
      <c r="F13" s="21" t="str">
        <f aca="false">IF(E13="","⬜ Enter answer",IF(UPPER(E13)="DIE","✅ Correct! 🎉","❌ Try again!"))</f>
        <v>⬜ Enter answer</v>
      </c>
    </row>
    <row r="14" customFormat="false" ht="25.5" hidden="false" customHeight="true" outlineLevel="0" collapsed="false">
      <c r="A14" s="22" t="n">
        <v>10</v>
      </c>
      <c r="B14" s="18" t="s">
        <v>93</v>
      </c>
      <c r="C14" s="23" t="s">
        <v>94</v>
      </c>
      <c r="D14" s="22" t="s">
        <v>95</v>
      </c>
      <c r="E14" s="20"/>
      <c r="F14" s="24" t="str">
        <f aca="false">IF(E14="","⬜ Enter answer",IF(UPPER(E14)="DER","✅ Correct! 🎉","❌ Try again!"))</f>
        <v>⬜ Enter answer</v>
      </c>
    </row>
    <row r="15" customFormat="false" ht="25.5" hidden="false" customHeight="true" outlineLevel="0" collapsed="false">
      <c r="A15" s="6" t="n">
        <v>11</v>
      </c>
      <c r="B15" s="18" t="s">
        <v>63</v>
      </c>
      <c r="C15" s="19" t="s">
        <v>64</v>
      </c>
      <c r="D15" s="6" t="s">
        <v>66</v>
      </c>
      <c r="E15" s="20"/>
      <c r="F15" s="21" t="str">
        <f aca="false">IF(E15="","⬜ Enter answer",IF(UPPER(E15)="DIE","✅ Correct! 🎉","❌ Try again!"))</f>
        <v>⬜ Enter answer</v>
      </c>
    </row>
    <row r="16" customFormat="false" ht="25.5" hidden="false" customHeight="true" outlineLevel="0" collapsed="false">
      <c r="A16" s="22" t="n">
        <v>12</v>
      </c>
      <c r="B16" s="18" t="s">
        <v>141</v>
      </c>
      <c r="C16" s="23" t="s">
        <v>142</v>
      </c>
      <c r="D16" s="22" t="s">
        <v>144</v>
      </c>
      <c r="E16" s="20"/>
      <c r="F16" s="24" t="str">
        <f aca="false">IF(E16="","⬜ Enter answer",IF(UPPER(E16)="DAS","✅ Correct! 🎉","❌ Try again!"))</f>
        <v>⬜ Enter answer</v>
      </c>
    </row>
    <row r="17" customFormat="false" ht="25.5" hidden="false" customHeight="true" outlineLevel="0" collapsed="false">
      <c r="A17" s="6" t="n">
        <v>13</v>
      </c>
      <c r="B17" s="18" t="s">
        <v>161</v>
      </c>
      <c r="C17" s="19" t="s">
        <v>162</v>
      </c>
      <c r="D17" s="6" t="s">
        <v>164</v>
      </c>
      <c r="E17" s="20"/>
      <c r="F17" s="21" t="str">
        <f aca="false">IF(E17="","⬜ Enter answer",IF(UPPER(E17)="DAS","✅ Correct! 🎉","❌ Try again!"))</f>
        <v>⬜ Enter answer</v>
      </c>
    </row>
    <row r="18" customFormat="false" ht="25.5" hidden="false" customHeight="true" outlineLevel="0" collapsed="false">
      <c r="A18" s="22" t="n">
        <v>14</v>
      </c>
      <c r="B18" s="18" t="s">
        <v>121</v>
      </c>
      <c r="C18" s="23" t="s">
        <v>122</v>
      </c>
      <c r="D18" s="22" t="s">
        <v>124</v>
      </c>
      <c r="E18" s="20"/>
      <c r="F18" s="24" t="str">
        <f aca="false">IF(E18="","⬜ Enter answer",IF(UPPER(E18)="DAS","✅ Correct! 🎉","❌ Try again!"))</f>
        <v>⬜ Enter answer</v>
      </c>
    </row>
    <row r="19" customFormat="false" ht="25.5" hidden="false" customHeight="true" outlineLevel="0" collapsed="false">
      <c r="A19" s="6" t="n">
        <v>15</v>
      </c>
      <c r="B19" s="18" t="s">
        <v>93</v>
      </c>
      <c r="C19" s="19" t="s">
        <v>97</v>
      </c>
      <c r="D19" s="6" t="s">
        <v>99</v>
      </c>
      <c r="E19" s="20"/>
      <c r="F19" s="21" t="str">
        <f aca="false">IF(E19="","⬜ Enter answer",IF(UPPER(E19)="DIE","✅ Correct! 🎉","❌ Try again!"))</f>
        <v>⬜ Enter answer</v>
      </c>
    </row>
    <row r="20" customFormat="false" ht="25.5" hidden="false" customHeight="true" outlineLevel="0" collapsed="false">
      <c r="A20" s="22" t="n">
        <v>16</v>
      </c>
      <c r="B20" s="18" t="s">
        <v>151</v>
      </c>
      <c r="C20" s="23" t="s">
        <v>152</v>
      </c>
      <c r="D20" s="22" t="s">
        <v>154</v>
      </c>
      <c r="E20" s="20"/>
      <c r="F20" s="24" t="str">
        <f aca="false">IF(E20="","⬜ Enter answer",IF(UPPER(E20)="DER","✅ Correct! 🎉","❌ Try again!"))</f>
        <v>⬜ Enter answer</v>
      </c>
    </row>
    <row r="21" customFormat="false" ht="25.5" hidden="false" customHeight="true" outlineLevel="0" collapsed="false">
      <c r="A21" s="6" t="n">
        <v>17</v>
      </c>
      <c r="B21" s="18" t="s">
        <v>17</v>
      </c>
      <c r="C21" s="19" t="s">
        <v>18</v>
      </c>
      <c r="D21" s="6" t="s">
        <v>21</v>
      </c>
      <c r="E21" s="20"/>
      <c r="F21" s="21" t="str">
        <f aca="false">IF(E21="","⬜ Enter answer",IF(UPPER(E21)="DAS","✅ Correct! 🎉","❌ Try again!"))</f>
        <v>⬜ Enter answer</v>
      </c>
    </row>
    <row r="22" customFormat="false" ht="25.5" hidden="false" customHeight="true" outlineLevel="0" collapsed="false">
      <c r="A22" s="22" t="n">
        <v>18</v>
      </c>
      <c r="B22" s="18" t="s">
        <v>83</v>
      </c>
      <c r="C22" s="23" t="s">
        <v>84</v>
      </c>
      <c r="D22" s="22" t="s">
        <v>86</v>
      </c>
      <c r="E22" s="20"/>
      <c r="F22" s="24" t="str">
        <f aca="false">IF(E22="","⬜ Enter answer",IF(UPPER(E22)="DIE","✅ Correct! 🎉","❌ Try again!"))</f>
        <v>⬜ Enter answer</v>
      </c>
    </row>
    <row r="23" customFormat="false" ht="25.5" hidden="false" customHeight="true" outlineLevel="0" collapsed="false">
      <c r="A23" s="6" t="n">
        <v>19</v>
      </c>
      <c r="B23" s="18" t="s">
        <v>106</v>
      </c>
      <c r="C23" s="19" t="s">
        <v>107</v>
      </c>
      <c r="D23" s="6" t="s">
        <v>109</v>
      </c>
      <c r="E23" s="20"/>
      <c r="F23" s="21" t="str">
        <f aca="false">IF(E23="","⬜ Enter answer",IF(UPPER(E23)="DIE","✅ Correct! 🎉","❌ Try again!"))</f>
        <v>⬜ Enter answer</v>
      </c>
    </row>
    <row r="24" customFormat="false" ht="25.5" hidden="false" customHeight="true" outlineLevel="0" collapsed="false">
      <c r="A24" s="22" t="n">
        <v>20</v>
      </c>
      <c r="B24" s="18" t="s">
        <v>23</v>
      </c>
      <c r="C24" s="23" t="s">
        <v>24</v>
      </c>
      <c r="D24" s="22" t="s">
        <v>26</v>
      </c>
      <c r="E24" s="20"/>
      <c r="F24" s="24" t="str">
        <f aca="false">IF(E24="","⬜ Enter answer",IF(UPPER(E24)="DIE","✅ Correct! 🎉","❌ Try again!"))</f>
        <v>⬜ Enter answer</v>
      </c>
    </row>
    <row r="25" customFormat="false" ht="25.5" hidden="false" customHeight="true" outlineLevel="0" collapsed="false">
      <c r="A25" s="6" t="n">
        <v>21</v>
      </c>
      <c r="B25" s="18" t="s">
        <v>101</v>
      </c>
      <c r="C25" s="19" t="s">
        <v>102</v>
      </c>
      <c r="D25" s="6" t="s">
        <v>104</v>
      </c>
      <c r="E25" s="20"/>
      <c r="F25" s="21" t="str">
        <f aca="false">IF(E25="","⬜ Enter answer",IF(UPPER(E25)="DER","✅ Correct! 🎉","❌ Try again!"))</f>
        <v>⬜ Enter answer</v>
      </c>
    </row>
    <row r="26" customFormat="false" ht="25.5" hidden="false" customHeight="true" outlineLevel="0" collapsed="false">
      <c r="A26" s="22" t="n">
        <v>22</v>
      </c>
      <c r="B26" s="18" t="s">
        <v>156</v>
      </c>
      <c r="C26" s="23" t="s">
        <v>157</v>
      </c>
      <c r="D26" s="22" t="s">
        <v>159</v>
      </c>
      <c r="E26" s="20"/>
      <c r="F26" s="24" t="str">
        <f aca="false">IF(E26="","⬜ Enter answer",IF(UPPER(E26)="DIE","✅ Correct! 🎉","❌ Try again!"))</f>
        <v>⬜ Enter answer</v>
      </c>
    </row>
    <row r="27" customFormat="false" ht="25.5" hidden="false" customHeight="true" outlineLevel="0" collapsed="false">
      <c r="A27" s="6" t="n">
        <v>23</v>
      </c>
      <c r="B27" s="18" t="s">
        <v>33</v>
      </c>
      <c r="C27" s="19" t="s">
        <v>34</v>
      </c>
      <c r="D27" s="6" t="s">
        <v>37</v>
      </c>
      <c r="E27" s="20"/>
      <c r="F27" s="21" t="str">
        <f aca="false">IF(E27="","⬜ Enter answer",IF(UPPER(E27)="DER","✅ Correct! 🎉","❌ Try again!"))</f>
        <v>⬜ Enter answer</v>
      </c>
    </row>
    <row r="28" customFormat="false" ht="25.5" hidden="false" customHeight="true" outlineLevel="0" collapsed="false">
      <c r="A28" s="22" t="n">
        <v>24</v>
      </c>
      <c r="B28" s="18" t="s">
        <v>136</v>
      </c>
      <c r="C28" s="23" t="s">
        <v>137</v>
      </c>
      <c r="D28" s="22" t="s">
        <v>139</v>
      </c>
      <c r="E28" s="20"/>
      <c r="F28" s="24" t="str">
        <f aca="false">IF(E28="","⬜ Enter answer",IF(UPPER(E28)="DIE","✅ Correct! 🎉","❌ Try again!"))</f>
        <v>⬜ Enter answer</v>
      </c>
    </row>
    <row r="29" customFormat="false" ht="25.5" hidden="false" customHeight="true" outlineLevel="0" collapsed="false">
      <c r="A29" s="6" t="n">
        <v>25</v>
      </c>
      <c r="B29" s="18" t="s">
        <v>54</v>
      </c>
      <c r="C29" s="19" t="s">
        <v>55</v>
      </c>
      <c r="D29" s="6" t="s">
        <v>56</v>
      </c>
      <c r="E29" s="20"/>
      <c r="F29" s="21" t="str">
        <f aca="false">IF(E29="","⬜ Enter answer",IF(UPPER(E29)="DAS","✅ Correct! 🎉","❌ Try again!"))</f>
        <v>⬜ Enter answer</v>
      </c>
    </row>
    <row r="30" customFormat="false" ht="25.5" hidden="false" customHeight="true" outlineLevel="0" collapsed="false">
      <c r="A30" s="22" t="n">
        <v>26</v>
      </c>
      <c r="B30" s="18" t="s">
        <v>58</v>
      </c>
      <c r="C30" s="23" t="s">
        <v>59</v>
      </c>
      <c r="D30" s="22" t="s">
        <v>61</v>
      </c>
      <c r="E30" s="20"/>
      <c r="F30" s="24" t="str">
        <f aca="false">IF(E30="","⬜ Enter answer",IF(UPPER(E30)="DER","✅ Correct! 🎉","❌ Try again!"))</f>
        <v>⬜ Enter answer</v>
      </c>
    </row>
    <row r="31" customFormat="false" ht="25.5" hidden="false" customHeight="true" outlineLevel="0" collapsed="false">
      <c r="A31" s="6" t="n">
        <v>27</v>
      </c>
      <c r="B31" s="18" t="s">
        <v>131</v>
      </c>
      <c r="C31" s="19" t="s">
        <v>132</v>
      </c>
      <c r="D31" s="6" t="s">
        <v>134</v>
      </c>
      <c r="E31" s="20"/>
      <c r="F31" s="21" t="str">
        <f aca="false">IF(E31="","⬜ Enter answer",IF(UPPER(E31)="DER","✅ Correct! 🎉","❌ Try again!"))</f>
        <v>⬜ Enter answer</v>
      </c>
    </row>
    <row r="32" customFormat="false" ht="25.5" hidden="false" customHeight="true" outlineLevel="0" collapsed="false">
      <c r="A32" s="22" t="n">
        <v>28</v>
      </c>
      <c r="B32" s="18" t="s">
        <v>11</v>
      </c>
      <c r="C32" s="23" t="s">
        <v>12</v>
      </c>
      <c r="D32" s="22" t="s">
        <v>15</v>
      </c>
      <c r="E32" s="20"/>
      <c r="F32" s="24" t="str">
        <f aca="false">IF(E32="","⬜ Enter answer",IF(UPPER(E32)="DIE","✅ Correct! 🎉","❌ Try again!"))</f>
        <v>⬜ Enter answer</v>
      </c>
    </row>
    <row r="33" customFormat="false" ht="25.5" hidden="false" customHeight="true" outlineLevel="0" collapsed="false">
      <c r="A33" s="6" t="n">
        <v>29</v>
      </c>
      <c r="B33" s="18" t="s">
        <v>28</v>
      </c>
      <c r="C33" s="19" t="s">
        <v>29</v>
      </c>
      <c r="D33" s="6" t="s">
        <v>31</v>
      </c>
      <c r="E33" s="20"/>
      <c r="F33" s="21" t="str">
        <f aca="false">IF(E33="","⬜ Enter answer",IF(UPPER(E33)="DAS","✅ Correct! 🎉","❌ Try again!"))</f>
        <v>⬜ Enter answer</v>
      </c>
    </row>
    <row r="34" customFormat="false" ht="25.5" hidden="false" customHeight="true" outlineLevel="0" collapsed="false">
      <c r="A34" s="22" t="n">
        <v>30</v>
      </c>
      <c r="B34" s="18" t="s">
        <v>116</v>
      </c>
      <c r="C34" s="23" t="s">
        <v>117</v>
      </c>
      <c r="D34" s="22" t="s">
        <v>119</v>
      </c>
      <c r="E34" s="20"/>
      <c r="F34" s="24" t="str">
        <f aca="false">IF(E34="","⬜ Enter answer",IF(UPPER(E34)="DIE","✅ Correct! 🎉","❌ Try again!"))</f>
        <v>⬜ Enter answer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722C"/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16"/>
  </cols>
  <sheetData>
    <row r="1" customFormat="false" ht="43.5" hidden="false" customHeight="true" outlineLevel="0" collapsed="false">
      <c r="A1" s="25" t="s">
        <v>213</v>
      </c>
      <c r="B1" s="25"/>
      <c r="C1" s="25"/>
      <c r="D1" s="25"/>
      <c r="E1" s="25"/>
      <c r="F1" s="25"/>
    </row>
    <row r="2" customFormat="false" ht="27.75" hidden="false" customHeight="true" outlineLevel="0" collapsed="false">
      <c r="A2" s="13" t="s">
        <v>214</v>
      </c>
      <c r="B2" s="13"/>
      <c r="C2" s="13"/>
      <c r="D2" s="13"/>
      <c r="E2" s="13"/>
      <c r="F2" s="13"/>
    </row>
    <row r="3" customFormat="false" ht="27.75" hidden="false" customHeight="true" outlineLevel="0" collapsed="false">
      <c r="A3" s="17" t="s">
        <v>4</v>
      </c>
      <c r="B3" s="17" t="s">
        <v>5</v>
      </c>
      <c r="C3" s="17" t="s">
        <v>215</v>
      </c>
      <c r="D3" s="17" t="s">
        <v>7</v>
      </c>
      <c r="E3" s="17" t="s">
        <v>216</v>
      </c>
      <c r="F3" s="17" t="s">
        <v>212</v>
      </c>
    </row>
    <row r="4" customFormat="false" ht="25.5" hidden="false" customHeight="true" outlineLevel="0" collapsed="false">
      <c r="A4" s="6" t="n">
        <v>1</v>
      </c>
      <c r="B4" s="6" t="s">
        <v>11</v>
      </c>
      <c r="C4" s="6" t="s">
        <v>12</v>
      </c>
      <c r="D4" s="26" t="s">
        <v>13</v>
      </c>
      <c r="E4" s="20"/>
      <c r="F4" s="27" t="str">
        <f aca="false">IF(E4="","⬜ Type plural",IF(LOWER(E4)=LOWER("Autobahnen"),"✅ Correct! 🎉","❌ Try again!  (Autobahnen)"))</f>
        <v>⬜ Type plural</v>
      </c>
    </row>
    <row r="5" customFormat="false" ht="25.5" hidden="false" customHeight="true" outlineLevel="0" collapsed="false">
      <c r="A5" s="22" t="n">
        <v>2</v>
      </c>
      <c r="B5" s="22" t="s">
        <v>17</v>
      </c>
      <c r="C5" s="22" t="s">
        <v>18</v>
      </c>
      <c r="D5" s="28" t="s">
        <v>19</v>
      </c>
      <c r="E5" s="20"/>
      <c r="F5" s="29" t="str">
        <f aca="false">IF(E5="","⬜ Type plural",IF(LOWER(E5)=LOWER("Butterbrote"),"✅ Correct! 🎉","❌ Try again!  (Butterbrote)"))</f>
        <v>⬜ Type plural</v>
      </c>
    </row>
    <row r="6" customFormat="false" ht="25.5" hidden="false" customHeight="true" outlineLevel="0" collapsed="false">
      <c r="A6" s="6" t="n">
        <v>3</v>
      </c>
      <c r="B6" s="6" t="s">
        <v>23</v>
      </c>
      <c r="C6" s="6" t="s">
        <v>24</v>
      </c>
      <c r="D6" s="26" t="s">
        <v>13</v>
      </c>
      <c r="E6" s="20"/>
      <c r="F6" s="27" t="str">
        <f aca="false">IF(E6="","⬜ Type plural",IF(LOWER(E6)=LOWER("Flaschen"),"✅ Correct! 🎉","❌ Try again!  (Flaschen)"))</f>
        <v>⬜ Type plural</v>
      </c>
    </row>
    <row r="7" customFormat="false" ht="25.5" hidden="false" customHeight="true" outlineLevel="0" collapsed="false">
      <c r="A7" s="22" t="n">
        <v>4</v>
      </c>
      <c r="B7" s="22" t="s">
        <v>28</v>
      </c>
      <c r="C7" s="22" t="s">
        <v>29</v>
      </c>
      <c r="D7" s="28" t="s">
        <v>19</v>
      </c>
      <c r="E7" s="20"/>
      <c r="F7" s="29" t="str">
        <f aca="false">IF(E7="","⬜ Type plural",IF(LOWER(E7)=LOWER("Handtücher"),"✅ Correct! 🎉","❌ Try again!  (Handtücher)"))</f>
        <v>⬜ Type plural</v>
      </c>
    </row>
    <row r="8" customFormat="false" ht="25.5" hidden="false" customHeight="true" outlineLevel="0" collapsed="false">
      <c r="A8" s="6" t="n">
        <v>5</v>
      </c>
      <c r="B8" s="6" t="s">
        <v>33</v>
      </c>
      <c r="C8" s="6" t="s">
        <v>34</v>
      </c>
      <c r="D8" s="30" t="s">
        <v>35</v>
      </c>
      <c r="E8" s="20"/>
      <c r="F8" s="27" t="str">
        <f aca="false">IF(E8="","⬜ Type plural",IF(LOWER(E8)=LOWER("Kindergärten"),"✅ Correct! 🎉","❌ Try again!  (Kindergärten)"))</f>
        <v>⬜ Type plural</v>
      </c>
    </row>
    <row r="9" customFormat="false" ht="25.5" hidden="false" customHeight="true" outlineLevel="0" collapsed="false">
      <c r="A9" s="22" t="n">
        <v>6</v>
      </c>
      <c r="B9" s="22" t="s">
        <v>39</v>
      </c>
      <c r="C9" s="22" t="s">
        <v>40</v>
      </c>
      <c r="D9" s="30" t="s">
        <v>35</v>
      </c>
      <c r="E9" s="20"/>
      <c r="F9" s="29" t="str">
        <f aca="false">IF(E9="","⬜ Type plural",IF(LOWER(E9)=LOWER("Koffer"),"✅ Correct! 🎉","❌ Try again!  (Koffer)"))</f>
        <v>⬜ Type plural</v>
      </c>
    </row>
    <row r="10" customFormat="false" ht="25.5" hidden="false" customHeight="true" outlineLevel="0" collapsed="false">
      <c r="A10" s="6" t="n">
        <v>7</v>
      </c>
      <c r="B10" s="6" t="s">
        <v>43</v>
      </c>
      <c r="C10" s="6" t="s">
        <v>44</v>
      </c>
      <c r="D10" s="30" t="s">
        <v>45</v>
      </c>
      <c r="E10" s="20"/>
      <c r="F10" s="27" t="str">
        <f aca="false">IF(E10="","⬜ Type plural",IF(LOWER(E10)=LOWER("Kranken"),"✅ Correct! 🎉","❌ Try again!  (Kranken)"))</f>
        <v>⬜ Type plural</v>
      </c>
    </row>
    <row r="11" customFormat="false" ht="25.5" hidden="false" customHeight="true" outlineLevel="0" collapsed="false">
      <c r="A11" s="22" t="n">
        <v>8</v>
      </c>
      <c r="B11" s="22" t="s">
        <v>49</v>
      </c>
      <c r="C11" s="22" t="s">
        <v>50</v>
      </c>
      <c r="D11" s="26" t="s">
        <v>13</v>
      </c>
      <c r="E11" s="20"/>
      <c r="F11" s="29" t="str">
        <f aca="false">IF(E11="","⬜ Type plural",IF(LOWER(E11)=LOWER("Nudeln"),"✅ Correct! 🎉","❌ Try again!  (Nudeln)"))</f>
        <v>⬜ Type plural</v>
      </c>
    </row>
    <row r="12" customFormat="false" ht="25.5" hidden="false" customHeight="true" outlineLevel="0" collapsed="false">
      <c r="A12" s="6" t="n">
        <v>9</v>
      </c>
      <c r="B12" s="6" t="s">
        <v>54</v>
      </c>
      <c r="C12" s="6" t="s">
        <v>55</v>
      </c>
      <c r="D12" s="28" t="s">
        <v>19</v>
      </c>
      <c r="E12" s="20"/>
      <c r="F12" s="27" t="str">
        <f aca="false">IF(E12="","⬜ Type plural",IF(LOWER(E12)=LOWER("Würstchen"),"✅ Correct! 🎉","❌ Try again!  (Würstchen)"))</f>
        <v>⬜ Type plural</v>
      </c>
    </row>
    <row r="13" customFormat="false" ht="25.5" hidden="false" customHeight="true" outlineLevel="0" collapsed="false">
      <c r="A13" s="22" t="n">
        <v>10</v>
      </c>
      <c r="B13" s="22" t="s">
        <v>58</v>
      </c>
      <c r="C13" s="22" t="s">
        <v>59</v>
      </c>
      <c r="D13" s="30" t="s">
        <v>35</v>
      </c>
      <c r="E13" s="20"/>
      <c r="F13" s="29" t="str">
        <f aca="false">IF(E13="","⬜ Type plural",IF(LOWER(E13)=LOWER("Namen"),"✅ Correct! 🎉","❌ Try again!  (Namen)"))</f>
        <v>⬜ Type plural</v>
      </c>
    </row>
    <row r="14" customFormat="false" ht="25.5" hidden="false" customHeight="true" outlineLevel="0" collapsed="false">
      <c r="A14" s="6" t="n">
        <v>11</v>
      </c>
      <c r="B14" s="6" t="s">
        <v>63</v>
      </c>
      <c r="C14" s="6" t="s">
        <v>64</v>
      </c>
      <c r="D14" s="26" t="s">
        <v>13</v>
      </c>
      <c r="E14" s="20"/>
      <c r="F14" s="27" t="str">
        <f aca="false">IF(E14="","⬜ Type plural",IF(LOWER(E14)=LOWER("Sprachen"),"✅ Correct! 🎉","❌ Try again!  (Sprachen)"))</f>
        <v>⬜ Type plural</v>
      </c>
    </row>
    <row r="15" customFormat="false" ht="25.5" hidden="false" customHeight="true" outlineLevel="0" collapsed="false">
      <c r="A15" s="22" t="n">
        <v>12</v>
      </c>
      <c r="B15" s="22" t="s">
        <v>68</v>
      </c>
      <c r="C15" s="22" t="s">
        <v>69</v>
      </c>
      <c r="D15" s="28" t="s">
        <v>19</v>
      </c>
      <c r="E15" s="20"/>
      <c r="F15" s="29" t="str">
        <f aca="false">IF(E15="","⬜ Type plural",IF(LOWER(E15)=LOWER("Wörter"),"✅ Correct! 🎉","❌ Try again!  (Wörter)"))</f>
        <v>⬜ Type plural</v>
      </c>
    </row>
    <row r="16" customFormat="false" ht="25.5" hidden="false" customHeight="true" outlineLevel="0" collapsed="false">
      <c r="A16" s="6" t="n">
        <v>13</v>
      </c>
      <c r="B16" s="6" t="s">
        <v>73</v>
      </c>
      <c r="C16" s="6" t="s">
        <v>74</v>
      </c>
      <c r="D16" s="26" t="s">
        <v>13</v>
      </c>
      <c r="E16" s="20"/>
      <c r="F16" s="27" t="str">
        <f aca="false">IF(E16="","⬜ Type plural",IF(LOWER(E16)=LOWER("Personen"),"✅ Correct! 🎉","❌ Try again!  (Personen)"))</f>
        <v>⬜ Type plural</v>
      </c>
    </row>
    <row r="17" customFormat="false" ht="25.5" hidden="false" customHeight="true" outlineLevel="0" collapsed="false">
      <c r="A17" s="22" t="n">
        <v>14</v>
      </c>
      <c r="B17" s="22" t="s">
        <v>78</v>
      </c>
      <c r="C17" s="22" t="s">
        <v>79</v>
      </c>
      <c r="D17" s="26" t="s">
        <v>13</v>
      </c>
      <c r="E17" s="20"/>
      <c r="F17" s="29" t="str">
        <f aca="false">IF(E17="","⬜ Type plural",IF(LOWER(E17)=LOWER("Situationen"),"✅ Correct! 🎉","❌ Try again!  (Situationen)"))</f>
        <v>⬜ Type plural</v>
      </c>
    </row>
    <row r="18" customFormat="false" ht="25.5" hidden="false" customHeight="true" outlineLevel="0" collapsed="false">
      <c r="A18" s="6" t="n">
        <v>15</v>
      </c>
      <c r="B18" s="6" t="s">
        <v>83</v>
      </c>
      <c r="C18" s="6" t="s">
        <v>84</v>
      </c>
      <c r="D18" s="26" t="s">
        <v>13</v>
      </c>
      <c r="E18" s="20"/>
      <c r="F18" s="27" t="str">
        <f aca="false">IF(E18="","⬜ Type plural",IF(LOWER(E18)=LOWER("Antworten"),"✅ Correct! 🎉","❌ Try again!  (Antworten)"))</f>
        <v>⬜ Type plural</v>
      </c>
    </row>
    <row r="19" customFormat="false" ht="25.5" hidden="false" customHeight="true" outlineLevel="0" collapsed="false">
      <c r="A19" s="22" t="n">
        <v>16</v>
      </c>
      <c r="B19" s="22" t="s">
        <v>88</v>
      </c>
      <c r="C19" s="22" t="s">
        <v>89</v>
      </c>
      <c r="D19" s="28" t="s">
        <v>19</v>
      </c>
      <c r="E19" s="20"/>
      <c r="F19" s="29" t="str">
        <f aca="false">IF(E19="","⬜ Type plural",IF(LOWER(E19)=LOWER("Telefone"),"✅ Correct! 🎉","❌ Try again!  (Telefone)"))</f>
        <v>⬜ Type plural</v>
      </c>
    </row>
    <row r="20" customFormat="false" ht="25.5" hidden="false" customHeight="true" outlineLevel="0" collapsed="false">
      <c r="A20" s="6" t="n">
        <v>17</v>
      </c>
      <c r="B20" s="6" t="s">
        <v>93</v>
      </c>
      <c r="C20" s="6" t="s">
        <v>94</v>
      </c>
      <c r="D20" s="30" t="s">
        <v>35</v>
      </c>
      <c r="E20" s="20"/>
      <c r="F20" s="27" t="str">
        <f aca="false">IF(E20="","⬜ Type plural",IF(LOWER(E20)=LOWER("Partner"),"✅ Correct! 🎉","❌ Try again!  (Partner)"))</f>
        <v>⬜ Type plural</v>
      </c>
    </row>
    <row r="21" customFormat="false" ht="25.5" hidden="false" customHeight="true" outlineLevel="0" collapsed="false">
      <c r="A21" s="22" t="n">
        <v>18</v>
      </c>
      <c r="B21" s="22" t="s">
        <v>93</v>
      </c>
      <c r="C21" s="22" t="s">
        <v>97</v>
      </c>
      <c r="D21" s="26" t="s">
        <v>13</v>
      </c>
      <c r="E21" s="20"/>
      <c r="F21" s="29" t="str">
        <f aca="false">IF(E21="","⬜ Type plural",IF(LOWER(E21)=LOWER("Partnerinnen"),"✅ Correct! 🎉","❌ Try again!  (Partnerinnen)"))</f>
        <v>⬜ Type plural</v>
      </c>
    </row>
    <row r="22" customFormat="false" ht="25.5" hidden="false" customHeight="true" outlineLevel="0" collapsed="false">
      <c r="A22" s="6" t="n">
        <v>19</v>
      </c>
      <c r="B22" s="6" t="s">
        <v>101</v>
      </c>
      <c r="C22" s="6" t="s">
        <v>102</v>
      </c>
      <c r="D22" s="30" t="s">
        <v>35</v>
      </c>
      <c r="E22" s="20"/>
      <c r="F22" s="27" t="str">
        <f aca="false">IF(E22="","⬜ Type plural",IF(LOWER(E22)=LOWER("Buchstaben"),"✅ Correct! 🎉","❌ Try again!  (Buchstaben)"))</f>
        <v>⬜ Type plural</v>
      </c>
    </row>
    <row r="23" customFormat="false" ht="25.5" hidden="false" customHeight="true" outlineLevel="0" collapsed="false">
      <c r="A23" s="22" t="n">
        <v>20</v>
      </c>
      <c r="B23" s="22" t="s">
        <v>106</v>
      </c>
      <c r="C23" s="22" t="s">
        <v>107</v>
      </c>
      <c r="D23" s="26" t="s">
        <v>13</v>
      </c>
      <c r="E23" s="20"/>
      <c r="F23" s="29" t="str">
        <f aca="false">IF(E23="","⬜ Type plural",IF(LOWER(E23)=LOWER("Zahlen"),"✅ Correct! 🎉","❌ Try again!  (Zahlen)"))</f>
        <v>⬜ Type plural</v>
      </c>
    </row>
    <row r="24" customFormat="false" ht="25.5" hidden="false" customHeight="true" outlineLevel="0" collapsed="false">
      <c r="A24" s="6" t="n">
        <v>21</v>
      </c>
      <c r="B24" s="6" t="s">
        <v>111</v>
      </c>
      <c r="C24" s="6" t="s">
        <v>112</v>
      </c>
      <c r="D24" s="26" t="s">
        <v>13</v>
      </c>
      <c r="E24" s="20"/>
      <c r="F24" s="27" t="str">
        <f aca="false">IF(E24="","⬜ Type plural",IF(LOWER(E24)=LOWER("Handynummern"),"✅ Correct! 🎉","❌ Try again!  (Handynummern)"))</f>
        <v>⬜ Type plural</v>
      </c>
    </row>
    <row r="25" customFormat="false" ht="25.5" hidden="false" customHeight="true" outlineLevel="0" collapsed="false">
      <c r="A25" s="22" t="n">
        <v>22</v>
      </c>
      <c r="B25" s="22" t="s">
        <v>116</v>
      </c>
      <c r="C25" s="22" t="s">
        <v>117</v>
      </c>
      <c r="D25" s="26" t="s">
        <v>13</v>
      </c>
      <c r="E25" s="20"/>
      <c r="F25" s="29" t="str">
        <f aca="false">IF(E25="","⬜ Type plural",IF(LOWER(E25)=LOWER("Telefonnummern"),"✅ Correct! 🎉","❌ Try again!  (Telefonnummern)"))</f>
        <v>⬜ Type plural</v>
      </c>
    </row>
    <row r="26" customFormat="false" ht="25.5" hidden="false" customHeight="true" outlineLevel="0" collapsed="false">
      <c r="A26" s="6" t="n">
        <v>23</v>
      </c>
      <c r="B26" s="6" t="s">
        <v>121</v>
      </c>
      <c r="C26" s="6" t="s">
        <v>122</v>
      </c>
      <c r="D26" s="28" t="s">
        <v>19</v>
      </c>
      <c r="E26" s="20"/>
      <c r="F26" s="27" t="str">
        <f aca="false">IF(E26="","⬜ Type plural",IF(LOWER(E26)=LOWER("Gespräche"),"✅ Correct! 🎉","❌ Try again!  (Gespräche)"))</f>
        <v>⬜ Type plural</v>
      </c>
    </row>
    <row r="27" customFormat="false" ht="25.5" hidden="false" customHeight="true" outlineLevel="0" collapsed="false">
      <c r="A27" s="22" t="n">
        <v>24</v>
      </c>
      <c r="B27" s="22" t="s">
        <v>126</v>
      </c>
      <c r="C27" s="22" t="s">
        <v>127</v>
      </c>
      <c r="D27" s="30" t="s">
        <v>35</v>
      </c>
      <c r="E27" s="20"/>
      <c r="F27" s="29" t="str">
        <f aca="false">IF(E27="","⬜ Type plural",IF(LOWER(E27)=LOWER("Punkte"),"✅ Correct! 🎉","❌ Try again!  (Punkte)"))</f>
        <v>⬜ Type plural</v>
      </c>
    </row>
    <row r="28" customFormat="false" ht="25.5" hidden="false" customHeight="true" outlineLevel="0" collapsed="false">
      <c r="A28" s="6" t="n">
        <v>25</v>
      </c>
      <c r="B28" s="6" t="s">
        <v>131</v>
      </c>
      <c r="C28" s="6" t="s">
        <v>132</v>
      </c>
      <c r="D28" s="30" t="s">
        <v>35</v>
      </c>
      <c r="E28" s="20"/>
      <c r="F28" s="27" t="str">
        <f aca="false">IF(E28="","⬜ Type plural",IF(LOWER(E28)=LOWER("Dialoge"),"✅ Correct! 🎉","❌ Try again!  (Dialoge)"))</f>
        <v>⬜ Type plural</v>
      </c>
    </row>
    <row r="29" customFormat="false" ht="25.5" hidden="false" customHeight="true" outlineLevel="0" collapsed="false">
      <c r="A29" s="22" t="n">
        <v>26</v>
      </c>
      <c r="B29" s="22" t="s">
        <v>136</v>
      </c>
      <c r="C29" s="22" t="s">
        <v>137</v>
      </c>
      <c r="D29" s="26" t="s">
        <v>13</v>
      </c>
      <c r="E29" s="20"/>
      <c r="F29" s="29" t="str">
        <f aca="false">IF(E29="","⬜ Type plural",IF(LOWER(E29)=LOWER("Grammatiken"),"✅ Correct! 🎉","❌ Try again!  (Grammatiken)"))</f>
        <v>⬜ Type plural</v>
      </c>
    </row>
    <row r="30" customFormat="false" ht="25.5" hidden="false" customHeight="true" outlineLevel="0" collapsed="false">
      <c r="A30" s="6" t="n">
        <v>27</v>
      </c>
      <c r="B30" s="6" t="s">
        <v>141</v>
      </c>
      <c r="C30" s="6" t="s">
        <v>142</v>
      </c>
      <c r="D30" s="28" t="s">
        <v>19</v>
      </c>
      <c r="E30" s="20"/>
      <c r="F30" s="27" t="str">
        <f aca="false">IF(E30="","⬜ Type plural",IF(LOWER(E30)=LOWER("Länder"),"✅ Correct! 🎉","❌ Try again!  (Länder)"))</f>
        <v>⬜ Type plural</v>
      </c>
    </row>
    <row r="31" customFormat="false" ht="25.5" hidden="false" customHeight="true" outlineLevel="0" collapsed="false">
      <c r="A31" s="22" t="n">
        <v>28</v>
      </c>
      <c r="B31" s="22" t="s">
        <v>146</v>
      </c>
      <c r="C31" s="22" t="s">
        <v>147</v>
      </c>
      <c r="D31" s="26" t="s">
        <v>13</v>
      </c>
      <c r="E31" s="20"/>
      <c r="F31" s="29" t="str">
        <f aca="false">IF(E31="","⬜ Type plural",IF(LOWER(E31)=LOWER("Städte"),"✅ Correct! 🎉","❌ Try again!  (Städte)"))</f>
        <v>⬜ Type plural</v>
      </c>
    </row>
    <row r="32" customFormat="false" ht="25.5" hidden="false" customHeight="true" outlineLevel="0" collapsed="false">
      <c r="A32" s="6" t="n">
        <v>29</v>
      </c>
      <c r="B32" s="6" t="s">
        <v>151</v>
      </c>
      <c r="C32" s="6" t="s">
        <v>152</v>
      </c>
      <c r="D32" s="30" t="s">
        <v>35</v>
      </c>
      <c r="E32" s="20"/>
      <c r="F32" s="27" t="str">
        <f aca="false">IF(E32="","⬜ Type plural",IF(LOWER(E32)=LOWER("Texte"),"✅ Correct! 🎉","❌ Try again!  (Texte)"))</f>
        <v>⬜ Type plural</v>
      </c>
    </row>
    <row r="33" customFormat="false" ht="25.5" hidden="false" customHeight="true" outlineLevel="0" collapsed="false">
      <c r="A33" s="22" t="n">
        <v>30</v>
      </c>
      <c r="B33" s="22" t="s">
        <v>156</v>
      </c>
      <c r="C33" s="22" t="s">
        <v>157</v>
      </c>
      <c r="D33" s="26" t="s">
        <v>13</v>
      </c>
      <c r="E33" s="20"/>
      <c r="F33" s="29" t="str">
        <f aca="false">IF(E33="","⬜ Type plural",IF(LOWER(E33)=LOWER("Tabellen"),"✅ Correct! 🎉","❌ Try again!  (Tabellen)"))</f>
        <v>⬜ Type plural</v>
      </c>
    </row>
    <row r="34" customFormat="false" ht="25.5" hidden="false" customHeight="true" outlineLevel="0" collapsed="false">
      <c r="A34" s="6" t="n">
        <v>31</v>
      </c>
      <c r="B34" s="6" t="s">
        <v>161</v>
      </c>
      <c r="C34" s="6" t="s">
        <v>162</v>
      </c>
      <c r="D34" s="28" t="s">
        <v>19</v>
      </c>
      <c r="E34" s="20"/>
      <c r="F34" s="27" t="str">
        <f aca="false">IF(E34="","⬜ Type plural",IF(LOWER(E34)=LOWER("Kursplakate"),"✅ Correct! 🎉","❌ Try again!  (Kursplakate)"))</f>
        <v>⬜ Type plural</v>
      </c>
    </row>
    <row r="35" customFormat="false" ht="25.5" hidden="false" customHeight="true" outlineLevel="0" collapsed="false">
      <c r="A35" s="22" t="n">
        <v>32</v>
      </c>
      <c r="B35" s="22" t="s">
        <v>73</v>
      </c>
      <c r="C35" s="22" t="s">
        <v>166</v>
      </c>
      <c r="D35" s="30" t="s">
        <v>35</v>
      </c>
      <c r="E35" s="20"/>
      <c r="F35" s="29" t="str">
        <f aca="false">IF(E35="","⬜ Type plural",IF(LOWER(E35)=LOWER("Vornamen"),"✅ Correct! 🎉","❌ Try again!  (Vornamen)"))</f>
        <v>⬜ Type plural</v>
      </c>
    </row>
    <row r="36" customFormat="false" ht="25.5" hidden="false" customHeight="true" outlineLevel="0" collapsed="false">
      <c r="A36" s="6" t="n">
        <v>33</v>
      </c>
      <c r="B36" s="6" t="s">
        <v>73</v>
      </c>
      <c r="C36" s="6" t="s">
        <v>170</v>
      </c>
      <c r="D36" s="30" t="s">
        <v>35</v>
      </c>
      <c r="E36" s="20"/>
      <c r="F36" s="27" t="str">
        <f aca="false">IF(E36="","⬜ Type plural",IF(LOWER(E36)=LOWER("Nachnamen"),"✅ Correct! 🎉","❌ Try again!  (Nachnamen)"))</f>
        <v>⬜ Type plural</v>
      </c>
    </row>
    <row r="37" customFormat="false" ht="25.5" hidden="false" customHeight="true" outlineLevel="0" collapsed="false">
      <c r="A37" s="22" t="n">
        <v>34</v>
      </c>
      <c r="B37" s="22" t="s">
        <v>174</v>
      </c>
      <c r="C37" s="22" t="s">
        <v>175</v>
      </c>
      <c r="D37" s="30" t="s">
        <v>35</v>
      </c>
      <c r="E37" s="20"/>
      <c r="F37" s="29" t="str">
        <f aca="false">IF(E37="","⬜ Type plural",IF(LOWER(E37)=LOWER("Reiseführer"),"✅ Correct! 🎉","❌ Try again!  (Reiseführer)"))</f>
        <v>⬜ Type plural</v>
      </c>
    </row>
    <row r="38" customFormat="false" ht="25.5" hidden="false" customHeight="true" outlineLevel="0" collapsed="false">
      <c r="A38" s="6" t="n">
        <v>35</v>
      </c>
      <c r="B38" s="6" t="s">
        <v>178</v>
      </c>
      <c r="C38" s="6" t="s">
        <v>179</v>
      </c>
      <c r="D38" s="28" t="s">
        <v>19</v>
      </c>
      <c r="E38" s="20"/>
      <c r="F38" s="27" t="str">
        <f aca="false">IF(E38="","⬜ Type plural",IF(LOWER(E38)=LOWER("Interviews"),"✅ Correct! 🎉","❌ Try again!  (Interviews)"))</f>
        <v>⬜ Type plural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6D6A0"/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4" min="4" style="0" width="6"/>
    <col collapsed="false" customWidth="true" hidden="false" outlineLevel="0" max="5" min="5" style="0" width="18"/>
    <col collapsed="false" customWidth="true" hidden="false" outlineLevel="0" max="7" min="7" style="0" width="6"/>
    <col collapsed="false" customWidth="true" hidden="false" outlineLevel="0" max="8" min="8" style="0" width="18"/>
  </cols>
  <sheetData>
    <row r="1" customFormat="false" ht="43.5" hidden="false" customHeight="true" outlineLevel="0" collapsed="false">
      <c r="A1" s="31" t="s">
        <v>217</v>
      </c>
      <c r="B1" s="31"/>
      <c r="C1" s="31"/>
      <c r="D1" s="31"/>
      <c r="E1" s="31"/>
      <c r="F1" s="31"/>
      <c r="G1" s="31"/>
      <c r="H1" s="31"/>
      <c r="I1" s="31"/>
    </row>
    <row r="2" customFormat="false" ht="29.85" hidden="false" customHeight="true" outlineLevel="0" collapsed="false">
      <c r="A2" s="32" t="s">
        <v>218</v>
      </c>
      <c r="B2" s="32"/>
      <c r="D2" s="33" t="s">
        <v>219</v>
      </c>
      <c r="E2" s="33"/>
      <c r="G2" s="34" t="s">
        <v>220</v>
      </c>
      <c r="H2" s="34"/>
    </row>
    <row r="3" customFormat="false" ht="17.35" hidden="false" customHeight="false" outlineLevel="0" collapsed="false">
      <c r="A3" s="35" t="s">
        <v>33</v>
      </c>
      <c r="B3" s="10" t="s">
        <v>34</v>
      </c>
      <c r="D3" s="36" t="s">
        <v>11</v>
      </c>
      <c r="E3" s="7" t="s">
        <v>12</v>
      </c>
      <c r="G3" s="37" t="s">
        <v>17</v>
      </c>
      <c r="H3" s="9" t="s">
        <v>18</v>
      </c>
    </row>
    <row r="4" customFormat="false" ht="17.35" hidden="false" customHeight="false" outlineLevel="0" collapsed="false">
      <c r="A4" s="35" t="s">
        <v>39</v>
      </c>
      <c r="B4" s="10" t="s">
        <v>40</v>
      </c>
      <c r="D4" s="36" t="s">
        <v>23</v>
      </c>
      <c r="E4" s="7" t="s">
        <v>24</v>
      </c>
      <c r="G4" s="37" t="s">
        <v>28</v>
      </c>
      <c r="H4" s="9" t="s">
        <v>29</v>
      </c>
    </row>
    <row r="5" customFormat="false" ht="17.35" hidden="false" customHeight="false" outlineLevel="0" collapsed="false">
      <c r="A5" s="35" t="s">
        <v>58</v>
      </c>
      <c r="B5" s="10" t="s">
        <v>59</v>
      </c>
      <c r="D5" s="36" t="s">
        <v>49</v>
      </c>
      <c r="E5" s="7" t="s">
        <v>50</v>
      </c>
      <c r="G5" s="37" t="s">
        <v>54</v>
      </c>
      <c r="H5" s="9" t="s">
        <v>55</v>
      </c>
    </row>
    <row r="6" customFormat="false" ht="17.35" hidden="false" customHeight="false" outlineLevel="0" collapsed="false">
      <c r="A6" s="35" t="s">
        <v>93</v>
      </c>
      <c r="B6" s="10" t="s">
        <v>94</v>
      </c>
      <c r="D6" s="36" t="s">
        <v>63</v>
      </c>
      <c r="E6" s="7" t="s">
        <v>64</v>
      </c>
      <c r="G6" s="37" t="s">
        <v>68</v>
      </c>
      <c r="H6" s="9" t="s">
        <v>69</v>
      </c>
    </row>
    <row r="7" customFormat="false" ht="17.35" hidden="false" customHeight="false" outlineLevel="0" collapsed="false">
      <c r="A7" s="35" t="s">
        <v>101</v>
      </c>
      <c r="B7" s="10" t="s">
        <v>102</v>
      </c>
      <c r="D7" s="36" t="s">
        <v>73</v>
      </c>
      <c r="E7" s="7" t="s">
        <v>74</v>
      </c>
      <c r="G7" s="37" t="s">
        <v>88</v>
      </c>
      <c r="H7" s="9" t="s">
        <v>89</v>
      </c>
    </row>
    <row r="8" customFormat="false" ht="17.35" hidden="false" customHeight="false" outlineLevel="0" collapsed="false">
      <c r="A8" s="35" t="s">
        <v>126</v>
      </c>
      <c r="B8" s="10" t="s">
        <v>127</v>
      </c>
      <c r="D8" s="36" t="s">
        <v>78</v>
      </c>
      <c r="E8" s="7" t="s">
        <v>79</v>
      </c>
      <c r="G8" s="37" t="s">
        <v>121</v>
      </c>
      <c r="H8" s="9" t="s">
        <v>122</v>
      </c>
    </row>
    <row r="9" customFormat="false" ht="17.35" hidden="false" customHeight="false" outlineLevel="0" collapsed="false">
      <c r="A9" s="35" t="s">
        <v>131</v>
      </c>
      <c r="B9" s="10" t="s">
        <v>132</v>
      </c>
      <c r="D9" s="36" t="s">
        <v>83</v>
      </c>
      <c r="E9" s="7" t="s">
        <v>84</v>
      </c>
      <c r="G9" s="37" t="s">
        <v>141</v>
      </c>
      <c r="H9" s="9" t="s">
        <v>142</v>
      </c>
    </row>
    <row r="10" customFormat="false" ht="17.35" hidden="false" customHeight="false" outlineLevel="0" collapsed="false">
      <c r="A10" s="35" t="s">
        <v>151</v>
      </c>
      <c r="B10" s="10" t="s">
        <v>152</v>
      </c>
      <c r="D10" s="36" t="s">
        <v>93</v>
      </c>
      <c r="E10" s="7" t="s">
        <v>97</v>
      </c>
      <c r="G10" s="37" t="s">
        <v>161</v>
      </c>
      <c r="H10" s="9" t="s">
        <v>162</v>
      </c>
    </row>
    <row r="11" customFormat="false" ht="17.35" hidden="false" customHeight="false" outlineLevel="0" collapsed="false">
      <c r="A11" s="35" t="s">
        <v>73</v>
      </c>
      <c r="B11" s="10" t="s">
        <v>166</v>
      </c>
      <c r="D11" s="36" t="s">
        <v>106</v>
      </c>
      <c r="E11" s="7" t="s">
        <v>107</v>
      </c>
      <c r="G11" s="37" t="s">
        <v>178</v>
      </c>
      <c r="H11" s="9" t="s">
        <v>179</v>
      </c>
    </row>
    <row r="12" customFormat="false" ht="17.35" hidden="false" customHeight="false" outlineLevel="0" collapsed="false">
      <c r="A12" s="35" t="s">
        <v>73</v>
      </c>
      <c r="B12" s="10" t="s">
        <v>170</v>
      </c>
      <c r="D12" s="36" t="s">
        <v>111</v>
      </c>
      <c r="E12" s="7" t="s">
        <v>112</v>
      </c>
      <c r="G12" s="37" t="s">
        <v>101</v>
      </c>
      <c r="H12" s="9" t="s">
        <v>188</v>
      </c>
    </row>
    <row r="13" customFormat="false" ht="17.35" hidden="false" customHeight="false" outlineLevel="0" collapsed="false">
      <c r="A13" s="35" t="s">
        <v>174</v>
      </c>
      <c r="B13" s="10" t="s">
        <v>175</v>
      </c>
      <c r="D13" s="36" t="s">
        <v>116</v>
      </c>
      <c r="E13" s="7" t="s">
        <v>117</v>
      </c>
    </row>
    <row r="14" customFormat="false" ht="17.35" hidden="false" customHeight="false" outlineLevel="0" collapsed="false">
      <c r="A14" s="35" t="s">
        <v>192</v>
      </c>
      <c r="B14" s="10" t="s">
        <v>193</v>
      </c>
      <c r="D14" s="36" t="s">
        <v>136</v>
      </c>
      <c r="E14" s="7" t="s">
        <v>137</v>
      </c>
    </row>
    <row r="15" customFormat="false" ht="17.35" hidden="false" customHeight="false" outlineLevel="0" collapsed="false">
      <c r="A15" s="35" t="s">
        <v>63</v>
      </c>
      <c r="B15" s="10" t="s">
        <v>202</v>
      </c>
      <c r="D15" s="36" t="s">
        <v>146</v>
      </c>
      <c r="E15" s="7" t="s">
        <v>147</v>
      </c>
    </row>
    <row r="16" customFormat="false" ht="17.35" hidden="false" customHeight="false" outlineLevel="0" collapsed="false">
      <c r="D16" s="36" t="s">
        <v>156</v>
      </c>
      <c r="E16" s="7" t="s">
        <v>157</v>
      </c>
    </row>
    <row r="17" customFormat="false" ht="17.35" hidden="false" customHeight="false" outlineLevel="0" collapsed="false">
      <c r="D17" s="36" t="s">
        <v>183</v>
      </c>
      <c r="E17" s="7" t="s">
        <v>184</v>
      </c>
    </row>
    <row r="18" customFormat="false" ht="17.35" hidden="false" customHeight="false" outlineLevel="0" collapsed="false">
      <c r="D18" s="36" t="s">
        <v>197</v>
      </c>
      <c r="E18" s="7" t="s">
        <v>198</v>
      </c>
    </row>
  </sheetData>
  <mergeCells count="4">
    <mergeCell ref="A1:I1"/>
    <mergeCell ref="A2:B2"/>
    <mergeCell ref="D2:E2"/>
    <mergeCell ref="G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700"/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0"/>
  </cols>
  <sheetData>
    <row r="1" customFormat="false" ht="49.5" hidden="false" customHeight="true" outlineLevel="0" collapsed="false">
      <c r="A1" s="38" t="s">
        <v>221</v>
      </c>
      <c r="B1" s="38"/>
      <c r="C1" s="38"/>
    </row>
    <row r="2" customFormat="false" ht="27.75" hidden="false" customHeight="true" outlineLevel="0" collapsed="false">
      <c r="A2" s="39" t="s">
        <v>222</v>
      </c>
      <c r="B2" s="39" t="s">
        <v>223</v>
      </c>
      <c r="C2" s="39" t="s">
        <v>224</v>
      </c>
    </row>
    <row r="3" customFormat="false" ht="27.75" hidden="false" customHeight="true" outlineLevel="0" collapsed="false">
      <c r="A3" s="40" t="s">
        <v>225</v>
      </c>
      <c r="B3" s="20"/>
      <c r="C3" s="40" t="n">
        <v>30</v>
      </c>
    </row>
    <row r="4" customFormat="false" ht="27.75" hidden="false" customHeight="true" outlineLevel="0" collapsed="false">
      <c r="A4" s="41" t="s">
        <v>226</v>
      </c>
      <c r="B4" s="20"/>
      <c r="C4" s="41" t="n">
        <v>35</v>
      </c>
    </row>
    <row r="5" customFormat="false" ht="27.75" hidden="false" customHeight="true" outlineLevel="0" collapsed="false">
      <c r="A5" s="42" t="s">
        <v>227</v>
      </c>
      <c r="B5" s="20"/>
      <c r="C5" s="42" t="n">
        <v>10</v>
      </c>
    </row>
    <row r="6" customFormat="false" ht="27.75" hidden="false" customHeight="true" outlineLevel="0" collapsed="false">
      <c r="A6" s="43" t="s">
        <v>228</v>
      </c>
      <c r="B6" s="20" t="n">
        <f aca="false">SUM(B3:B5)</f>
        <v>0</v>
      </c>
      <c r="C6" s="43" t="n">
        <f aca="false">SUM(C3:C5)</f>
        <v>75</v>
      </c>
    </row>
    <row r="8" customFormat="false" ht="31.5" hidden="false" customHeight="true" outlineLevel="0" collapsed="false">
      <c r="A8" s="44" t="s">
        <v>229</v>
      </c>
      <c r="B8" s="44"/>
      <c r="C8" s="44"/>
    </row>
  </sheetData>
  <mergeCells count="2">
    <mergeCell ref="A1:C1"/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2026-03-21T09:44:32Z</dcterms:created>
  <dc:creator>openpyxl</dc:creator>
  <dc:description/>
  <dc:language>en-US</dc:language>
  <cp:lastModifiedBy/>
  <dcterms:modified xsi:type="dcterms:W3CDTF">2026-03-21T09:44:32Z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